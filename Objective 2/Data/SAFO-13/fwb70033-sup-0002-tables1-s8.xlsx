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zosmichaelides/Library/CloudStorage/GoogleDrive-smichaelides@uri.edu/My Drive/RI_BrookTrout/5.7.Revisions_FWB/"/>
    </mc:Choice>
  </mc:AlternateContent>
  <xr:revisionPtr revIDLastSave="0" documentId="13_ncr:1_{5893F797-7A68-2F48-9531-82D4EDF548CC}" xr6:coauthVersionLast="47" xr6:coauthVersionMax="47" xr10:uidLastSave="{00000000-0000-0000-0000-000000000000}"/>
  <bookViews>
    <workbookView xWindow="32260" yWindow="1480" windowWidth="30640" windowHeight="18920" activeTab="1" xr2:uid="{C03A7F3B-1EA1-7444-BE74-0F0189094FD0}"/>
  </bookViews>
  <sheets>
    <sheet name="TableS1_FilterningProcess" sheetId="1" r:id="rId1"/>
    <sheet name="TableS2_SumStats" sheetId="8" r:id="rId2"/>
    <sheet name="TableS3_FstTable" sheetId="2" r:id="rId3"/>
    <sheet name="TableS4_PhenotypicDistances" sheetId="3" r:id="rId4"/>
    <sheet name="TableS5_Phenotypic%Classified" sheetId="4" r:id="rId5"/>
    <sheet name="TableS6_NumberOfDams" sheetId="5" r:id="rId6"/>
    <sheet name="TableS7_WaterwayDistance" sheetId="6" r:id="rId7"/>
    <sheet name="TableS8_ModellingSummaryTabl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<sst xmlns="http://schemas.openxmlformats.org/spreadsheetml/2006/main" count="475" uniqueCount="168">
  <si>
    <t>AFP</t>
  </si>
  <si>
    <t>BAK</t>
  </si>
  <si>
    <t>BHU</t>
  </si>
  <si>
    <t>BRH</t>
  </si>
  <si>
    <t>BRO</t>
  </si>
  <si>
    <t>BRP</t>
  </si>
  <si>
    <t>BRU</t>
  </si>
  <si>
    <t>FRC</t>
  </si>
  <si>
    <t>LFA</t>
  </si>
  <si>
    <t>LFR</t>
  </si>
  <si>
    <t>MBC</t>
  </si>
  <si>
    <t>MBP</t>
  </si>
  <si>
    <t>SBD</t>
  </si>
  <si>
    <t>SHB</t>
  </si>
  <si>
    <t>UTA</t>
  </si>
  <si>
    <t>UTB</t>
  </si>
  <si>
    <t>UTB2</t>
  </si>
  <si>
    <t>WR</t>
  </si>
  <si>
    <t xml:space="preserve">Remove samples with &lt;200 K reads </t>
  </si>
  <si>
    <t>Hatchery</t>
  </si>
  <si>
    <t>Stocked</t>
  </si>
  <si>
    <t>Not stocked</t>
  </si>
  <si>
    <t>Coastal</t>
  </si>
  <si>
    <t>Range (min-max):</t>
  </si>
  <si>
    <t>Average across all samples:</t>
  </si>
  <si>
    <t xml:space="preserve">Raw number of reads across all samples </t>
  </si>
  <si>
    <t>1,122 - 8,594,206</t>
  </si>
  <si>
    <t>Remove samples with &gt;25% missing data and &lt;12X depth</t>
  </si>
  <si>
    <t>Remove any remaining replicated samples</t>
  </si>
  <si>
    <t>Number of SNPs</t>
  </si>
  <si>
    <t>Total loci</t>
  </si>
  <si>
    <t xml:space="preserve">Removed loci that did not pass sample/population constrains </t>
  </si>
  <si>
    <t>Loci kept</t>
  </si>
  <si>
    <t>Variant sites (SNPs)</t>
  </si>
  <si>
    <t>3rd round of STACKS-Denovo assembly with N=444 samples, parameters: M=n=m=3, populations module: min-maf =0.05, R=0.8, --max-obs-het 0.5</t>
  </si>
  <si>
    <t>Number of unique loci</t>
  </si>
  <si>
    <t>Identify outlier loci not in HWE (dDocent pipline with cut-off p-value: -h 0.01)</t>
  </si>
  <si>
    <t># Step</t>
  </si>
  <si>
    <t>Description</t>
  </si>
  <si>
    <t xml:space="preserve">Sequenced 559 samples (in 2 lanes, 2x150bp paired end, HiSeq4000) </t>
  </si>
  <si>
    <t>Program used</t>
  </si>
  <si>
    <t>Identify potentially adaptive SNPs</t>
  </si>
  <si>
    <t>dDocent</t>
  </si>
  <si>
    <t>Stacks v2.5</t>
  </si>
  <si>
    <t>PCAdapt</t>
  </si>
  <si>
    <t>Result</t>
  </si>
  <si>
    <t xml:space="preserve">Table S1. Summary of steps to generate the final SNP dataset(s) </t>
  </si>
  <si>
    <t>VCFtools</t>
  </si>
  <si>
    <t>custom script</t>
  </si>
  <si>
    <r>
      <t xml:space="preserve">2nd round of </t>
    </r>
    <r>
      <rPr>
        <i/>
        <sz val="12"/>
        <color theme="1"/>
        <rFont val="Calibri"/>
        <family val="2"/>
        <scheme val="minor"/>
      </rPr>
      <t>Denovo assembly</t>
    </r>
    <r>
      <rPr>
        <sz val="12"/>
        <color theme="1"/>
        <rFont val="Calibri"/>
        <family val="2"/>
        <scheme val="minor"/>
      </rPr>
      <t xml:space="preserve"> with N=522 samples, parameters: M=n=m=3, populations module: min-maf =0.05, R=0.8</t>
    </r>
  </si>
  <si>
    <t>Test assembly  parameters with the replicated samples dataset (n=128)</t>
  </si>
  <si>
    <r>
      <t>Final round of STACKS/</t>
    </r>
    <r>
      <rPr>
        <i/>
        <sz val="12"/>
        <color theme="1"/>
        <rFont val="Calibri"/>
        <family val="2"/>
        <scheme val="minor"/>
      </rPr>
      <t>populations module</t>
    </r>
    <r>
      <rPr>
        <sz val="12"/>
        <color theme="1"/>
        <rFont val="Calibri"/>
        <family val="2"/>
        <scheme val="minor"/>
      </rPr>
      <t xml:space="preserve"> with a blacklist of unique loci (n=1070) from the outlier analysis.</t>
    </r>
  </si>
  <si>
    <r>
      <t>Demultiplexing (</t>
    </r>
    <r>
      <rPr>
        <i/>
        <sz val="12"/>
        <color theme="1"/>
        <rFont val="Calibri"/>
        <family val="2"/>
        <scheme val="minor"/>
      </rPr>
      <t>clone filter, process RADtags</t>
    </r>
    <r>
      <rPr>
        <sz val="12"/>
        <color theme="1"/>
        <rFont val="Calibri"/>
        <family val="2"/>
        <scheme val="minor"/>
      </rPr>
      <t xml:space="preserve">) and 1st round of </t>
    </r>
    <r>
      <rPr>
        <i/>
        <sz val="12"/>
        <color theme="1"/>
        <rFont val="Calibri"/>
        <family val="2"/>
        <scheme val="minor"/>
      </rPr>
      <t>Denovo assembly</t>
    </r>
    <r>
      <rPr>
        <sz val="12"/>
        <color theme="1"/>
        <rFont val="Calibri"/>
        <family val="2"/>
        <scheme val="minor"/>
      </rPr>
      <t xml:space="preserve"> with N=559 samples, parameters: M=n=m=3</t>
    </r>
  </si>
  <si>
    <t>Optimal value for M and n</t>
  </si>
  <si>
    <r>
      <t xml:space="preserve">Dataset </t>
    </r>
    <r>
      <rPr>
        <b/>
        <sz val="12"/>
        <color theme="1"/>
        <rFont val="Calibri"/>
        <family val="2"/>
        <scheme val="minor"/>
      </rPr>
      <t>BT1a</t>
    </r>
    <r>
      <rPr>
        <sz val="12"/>
        <color theme="1"/>
        <rFont val="Calibri"/>
        <family val="2"/>
        <scheme val="minor"/>
      </rPr>
      <t xml:space="preserve"> (all samples, n=444), Number of SNPs (keep all SNPs) </t>
    </r>
  </si>
  <si>
    <r>
      <t xml:space="preserve">Dataset </t>
    </r>
    <r>
      <rPr>
        <b/>
        <sz val="12"/>
        <color theme="1"/>
        <rFont val="Calibri"/>
        <family val="2"/>
        <scheme val="minor"/>
      </rPr>
      <t>BT1b</t>
    </r>
    <r>
      <rPr>
        <sz val="12"/>
        <color theme="1"/>
        <rFont val="Calibri"/>
        <family val="2"/>
        <scheme val="minor"/>
      </rPr>
      <t xml:space="preserve"> (all samples, n=444), Number of SNPs (single-snp-per-locus)</t>
    </r>
  </si>
  <si>
    <r>
      <t xml:space="preserve">Dataset </t>
    </r>
    <r>
      <rPr>
        <b/>
        <sz val="12"/>
        <color theme="1"/>
        <rFont val="Calibri"/>
        <family val="2"/>
        <scheme val="minor"/>
      </rPr>
      <t>BT2</t>
    </r>
    <r>
      <rPr>
        <sz val="12"/>
        <color theme="1"/>
        <rFont val="Calibri"/>
        <family val="2"/>
        <scheme val="minor"/>
      </rPr>
      <t xml:space="preserve"> (inland RI only, n=347), number of loci</t>
    </r>
  </si>
  <si>
    <r>
      <t xml:space="preserve">Dataset </t>
    </r>
    <r>
      <rPr>
        <b/>
        <sz val="12"/>
        <color theme="1"/>
        <rFont val="Calibri"/>
        <family val="2"/>
        <scheme val="minor"/>
      </rPr>
      <t>BT1</t>
    </r>
    <r>
      <rPr>
        <sz val="12"/>
        <color theme="1"/>
        <rFont val="Calibri"/>
        <family val="2"/>
        <scheme val="minor"/>
      </rPr>
      <t xml:space="preserve"> (all samples, n=444), number of loci</t>
    </r>
  </si>
  <si>
    <r>
      <t xml:space="preserve">Dataset </t>
    </r>
    <r>
      <rPr>
        <b/>
        <sz val="12"/>
        <color theme="1"/>
        <rFont val="Calibri"/>
        <family val="2"/>
        <scheme val="minor"/>
      </rPr>
      <t>BT2b</t>
    </r>
    <r>
      <rPr>
        <sz val="12"/>
        <color theme="1"/>
        <rFont val="Calibri"/>
        <family val="2"/>
        <scheme val="minor"/>
      </rPr>
      <t xml:space="preserve"> (inland RI only, n=347), Number of SNPs (single-snp-per-locus)</t>
    </r>
  </si>
  <si>
    <t>Removed PCR duplicates</t>
  </si>
  <si>
    <t>4% of total reads</t>
  </si>
  <si>
    <t xml:space="preserve">AFP </t>
  </si>
  <si>
    <t>Group</t>
  </si>
  <si>
    <t>Wild</t>
  </si>
  <si>
    <t>NS</t>
  </si>
  <si>
    <t>NP</t>
  </si>
  <si>
    <t>Pop10</t>
  </si>
  <si>
    <t>Pop05</t>
  </si>
  <si>
    <t>Pop15</t>
  </si>
  <si>
    <t>Pop14</t>
  </si>
  <si>
    <t>Pop13</t>
  </si>
  <si>
    <t>Pop06</t>
  </si>
  <si>
    <t>Pop18</t>
  </si>
  <si>
    <t>Pop17</t>
  </si>
  <si>
    <t>Pop07</t>
  </si>
  <si>
    <t>Pop09</t>
  </si>
  <si>
    <t>Pop08</t>
  </si>
  <si>
    <t>Pop02</t>
  </si>
  <si>
    <t>Pop01</t>
  </si>
  <si>
    <t>Pop03</t>
  </si>
  <si>
    <t>Pop04</t>
  </si>
  <si>
    <t>Pop12</t>
  </si>
  <si>
    <t>Pop16</t>
  </si>
  <si>
    <t>Pop11</t>
  </si>
  <si>
    <t>popID</t>
  </si>
  <si>
    <t>PopOrder</t>
  </si>
  <si>
    <t>Stocking</t>
  </si>
  <si>
    <t>Watershed</t>
  </si>
  <si>
    <t>Beaver River</t>
  </si>
  <si>
    <t>Lower Wood River</t>
  </si>
  <si>
    <t>Meadow Brook</t>
  </si>
  <si>
    <t>Upper Wood River</t>
  </si>
  <si>
    <t>Breakheart</t>
  </si>
  <si>
    <t>Downstream</t>
  </si>
  <si>
    <t>Upstream</t>
  </si>
  <si>
    <t>ster_pi</t>
  </si>
  <si>
    <t>ster_fis</t>
  </si>
  <si>
    <t>Ne</t>
  </si>
  <si>
    <t>Factor</t>
  </si>
  <si>
    <t xml:space="preserve">Table S2A. Summary table across sampling sites. </t>
  </si>
  <si>
    <t>HobsIND</t>
  </si>
  <si>
    <t>HobsPop</t>
  </si>
  <si>
    <t>HexpPop</t>
  </si>
  <si>
    <t>PiPop</t>
  </si>
  <si>
    <t>FisPop</t>
  </si>
  <si>
    <t>ster_Hobs</t>
  </si>
  <si>
    <t>ster_Hexp</t>
  </si>
  <si>
    <t>HobsIND*</t>
  </si>
  <si>
    <t>*HobsIND = Heterozygosity estimated by averaging individual heterozygosity values generated from VCFtools</t>
  </si>
  <si>
    <t>Model</t>
  </si>
  <si>
    <t>M1: Fst ~ Dams</t>
  </si>
  <si>
    <t>M2: Fst ~ Waterway distance</t>
  </si>
  <si>
    <t>M3: Fst ~ Dams + Waterway distance</t>
  </si>
  <si>
    <t>Dams</t>
  </si>
  <si>
    <t>AICc</t>
  </si>
  <si>
    <t>weights</t>
  </si>
  <si>
    <t>TableS8A: Regresion Models</t>
  </si>
  <si>
    <t xml:space="preserve">Model and parameters </t>
  </si>
  <si>
    <t>Estimate</t>
  </si>
  <si>
    <t>StdErr</t>
  </si>
  <si>
    <t>t-value</t>
  </si>
  <si>
    <t>Pr(&gt;|t|)</t>
  </si>
  <si>
    <t>Significance</t>
  </si>
  <si>
    <t>F-statistic</t>
  </si>
  <si>
    <t>F1,89 = 26.67</t>
  </si>
  <si>
    <t>(Intercept)</t>
  </si>
  <si>
    <t>***</t>
  </si>
  <si>
    <t>Adjusted Rsq</t>
  </si>
  <si>
    <t>F1,89 =17.36</t>
  </si>
  <si>
    <t>**</t>
  </si>
  <si>
    <t>Waterway distance</t>
  </si>
  <si>
    <t>F2,88=13.54</t>
  </si>
  <si>
    <t>Adj. R2</t>
  </si>
  <si>
    <t>delta</t>
  </si>
  <si>
    <t>F1,89 = 17.36</t>
  </si>
  <si>
    <t>F2,88 = 13.54</t>
  </si>
  <si>
    <t>r Mantel</t>
  </si>
  <si>
    <t>p Mantel</t>
  </si>
  <si>
    <t>TableS8B: Mantel Tests</t>
  </si>
  <si>
    <t>r</t>
  </si>
  <si>
    <t>L1-Stocked</t>
  </si>
  <si>
    <t>L2-Non-stocked</t>
  </si>
  <si>
    <t>L2-Non-Stocked</t>
  </si>
  <si>
    <t>L3-NonStocked-Coastal</t>
  </si>
  <si>
    <t>Origin</t>
  </si>
  <si>
    <t>Region</t>
  </si>
  <si>
    <t>L1-Inland</t>
  </si>
  <si>
    <t>L2-Coastal</t>
  </si>
  <si>
    <t>Table S2B: Genetic diversity indices across groups. Number of populations (Np), Number of samples (Ns), observed Heterozygosity (Hobs), expected Heterozygosity (Hexp), Observed heterozygosity at Individual level (HobsIND)</t>
  </si>
  <si>
    <t>Table 2 (same as main text)</t>
  </si>
  <si>
    <t>Table S4A. Mahalanobis distances among groups:</t>
  </si>
  <si>
    <t>Table S4B. Procrustes distances among groups</t>
  </si>
  <si>
    <t>Table S5. Percent (%) classified correctly - jacknifed</t>
  </si>
  <si>
    <t>Table S6. Number of dams between sampling sites</t>
  </si>
  <si>
    <t>Table S7. Distance between Sites (km)</t>
  </si>
  <si>
    <t>Stocking History</t>
  </si>
  <si>
    <t>L0-Hatchery</t>
  </si>
  <si>
    <t>River Network</t>
  </si>
  <si>
    <t>Table S3. Pairwise population genetic distance (Fst). Darker color scheme (red) indicates stronger differentiation. Non-significant value indicated with an asterisk*</t>
  </si>
  <si>
    <t>0.0013*</t>
  </si>
  <si>
    <t>0.0014*</t>
  </si>
  <si>
    <t>L3-Coastal</t>
  </si>
  <si>
    <t>Dam position</t>
  </si>
  <si>
    <t>L1-BelowDam</t>
  </si>
  <si>
    <t>L2-AboveDam</t>
  </si>
  <si>
    <t>Dam Position</t>
  </si>
  <si>
    <t>BelowDam</t>
  </si>
  <si>
    <t>AboveDam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</si>
</sst>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0.0000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mbria"/>
      <family val="1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A9A9A9"/>
        <bgColor rgb="FF000000"/>
      </patternFill>
    </fill>
    <fill>
      <patternFill patternType="solid">
        <fgColor rgb="FFA2A2A2"/>
        <bgColor rgb="FF000000"/>
      </patternFill>
    </fill>
    <fill>
      <patternFill patternType="solid">
        <fgColor rgb="FF9E9E9E"/>
        <bgColor rgb="FF000000"/>
      </patternFill>
    </fill>
    <fill>
      <patternFill patternType="solid">
        <fgColor rgb="FF8C8C8C"/>
        <bgColor rgb="FF000000"/>
      </patternFill>
    </fill>
    <fill>
      <patternFill patternType="solid">
        <fgColor rgb="FFAFAFAF"/>
        <bgColor rgb="FF000000"/>
      </patternFill>
    </fill>
    <fill>
      <patternFill patternType="solid">
        <fgColor rgb="FF989898"/>
        <bgColor rgb="FF000000"/>
      </patternFill>
    </fill>
    <fill>
      <patternFill patternType="solid">
        <fgColor rgb="FF929292"/>
        <bgColor rgb="FF000000"/>
      </patternFill>
    </fill>
    <fill>
      <patternFill patternType="solid">
        <fgColor rgb="FFC3C3C3"/>
        <bgColor rgb="FF000000"/>
      </patternFill>
    </fill>
    <fill>
      <patternFill patternType="solid">
        <fgColor rgb="FF999999"/>
        <bgColor rgb="FF000000"/>
      </patternFill>
    </fill>
    <fill>
      <patternFill patternType="solid">
        <fgColor rgb="FFB0B0B0"/>
        <bgColor rgb="FF000000"/>
      </patternFill>
    </fill>
    <fill>
      <patternFill patternType="solid">
        <fgColor rgb="FFB8B8B8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A7A7A7"/>
        <bgColor rgb="FF000000"/>
      </patternFill>
    </fill>
    <fill>
      <patternFill patternType="solid">
        <fgColor rgb="FF8D8D8D"/>
        <bgColor rgb="FF000000"/>
      </patternFill>
    </fill>
    <fill>
      <patternFill patternType="solid">
        <fgColor rgb="FFC6C6C6"/>
        <bgColor rgb="FF000000"/>
      </patternFill>
    </fill>
    <fill>
      <patternFill patternType="solid">
        <fgColor rgb="FFB5B5B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878787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2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164" fontId="2" fillId="11" borderId="1" xfId="0" applyNumberFormat="1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/>
    </xf>
    <xf numFmtId="164" fontId="2" fillId="14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16" borderId="1" xfId="0" applyNumberFormat="1" applyFont="1" applyFill="1" applyBorder="1" applyAlignment="1">
      <alignment horizontal="center"/>
    </xf>
    <xf numFmtId="164" fontId="2" fillId="17" borderId="1" xfId="0" applyNumberFormat="1" applyFont="1" applyFill="1" applyBorder="1" applyAlignment="1">
      <alignment horizontal="center"/>
    </xf>
    <xf numFmtId="164" fontId="2" fillId="18" borderId="1" xfId="0" applyNumberFormat="1" applyFont="1" applyFill="1" applyBorder="1" applyAlignment="1">
      <alignment horizontal="center"/>
    </xf>
    <xf numFmtId="164" fontId="2" fillId="19" borderId="1" xfId="0" applyNumberFormat="1" applyFont="1" applyFill="1" applyBorder="1" applyAlignment="1">
      <alignment horizontal="center"/>
    </xf>
    <xf numFmtId="164" fontId="2" fillId="20" borderId="1" xfId="0" applyNumberFormat="1" applyFont="1" applyFill="1" applyBorder="1" applyAlignment="1">
      <alignment horizontal="center"/>
    </xf>
    <xf numFmtId="164" fontId="2" fillId="21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5" fontId="2" fillId="0" borderId="1" xfId="0" applyNumberFormat="1" applyFont="1" applyBorder="1"/>
    <xf numFmtId="165" fontId="2" fillId="22" borderId="1" xfId="0" applyNumberFormat="1" applyFon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3" borderId="1" xfId="0" applyFill="1" applyBorder="1" applyAlignment="1">
      <alignment horizontal="left"/>
    </xf>
    <xf numFmtId="0" fontId="0" fillId="23" borderId="1" xfId="0" applyFill="1" applyBorder="1" applyAlignment="1">
      <alignment horizontal="center"/>
    </xf>
    <xf numFmtId="0" fontId="0" fillId="23" borderId="1" xfId="0" applyFill="1" applyBorder="1" applyAlignment="1">
      <alignment horizontal="left" wrapText="1"/>
    </xf>
    <xf numFmtId="0" fontId="0" fillId="23" borderId="1" xfId="0" applyFill="1" applyBorder="1" applyAlignment="1">
      <alignment horizontal="center" vertical="center"/>
    </xf>
    <xf numFmtId="0" fontId="0" fillId="0" borderId="1" xfId="0" applyBorder="1" applyAlignment="1">
      <alignment horizontal="right" wrapText="1"/>
    </xf>
    <xf numFmtId="0" fontId="8" fillId="0" borderId="1" xfId="0" applyFont="1" applyBorder="1"/>
    <xf numFmtId="0" fontId="1" fillId="0" borderId="1" xfId="0" applyFont="1" applyBorder="1"/>
    <xf numFmtId="165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right"/>
    </xf>
    <xf numFmtId="11" fontId="0" fillId="0" borderId="1" xfId="0" applyNumberFormat="1" applyBorder="1"/>
    <xf numFmtId="0" fontId="0" fillId="0" borderId="1" xfId="0" applyBorder="1" applyAlignment="1">
      <alignment vertical="center"/>
    </xf>
    <xf numFmtId="164" fontId="0" fillId="0" borderId="1" xfId="0" applyNumberFormat="1" applyBorder="1"/>
    <xf numFmtId="2" fontId="0" fillId="0" borderId="1" xfId="0" applyNumberFormat="1" applyBorder="1"/>
    <xf numFmtId="166" fontId="0" fillId="0" borderId="1" xfId="0" applyNumberFormat="1" applyBorder="1"/>
    <xf numFmtId="166" fontId="0" fillId="0" borderId="0" xfId="0" applyNumberFormat="1"/>
    <xf numFmtId="0" fontId="0" fillId="0" borderId="0" xfId="0" applyAlignment="1">
      <alignment horizontal="center"/>
    </xf>
    <xf numFmtId="0" fontId="0" fillId="25" borderId="1" xfId="0" applyFill="1" applyBorder="1" applyAlignment="1">
      <alignment horizontal="center"/>
    </xf>
    <xf numFmtId="0" fontId="8" fillId="22" borderId="1" xfId="0" applyFont="1" applyFill="1" applyBorder="1" applyAlignment="1">
      <alignment horizontal="center"/>
    </xf>
    <xf numFmtId="1" fontId="2" fillId="22" borderId="1" xfId="0" applyNumberFormat="1" applyFont="1" applyFill="1" applyBorder="1"/>
    <xf numFmtId="165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1" fillId="24" borderId="9" xfId="0" applyFont="1" applyFill="1" applyBorder="1" applyAlignment="1">
      <alignment horizontal="left"/>
    </xf>
    <xf numFmtId="0" fontId="1" fillId="24" borderId="8" xfId="0" applyFont="1" applyFill="1" applyBorder="1" applyAlignment="1">
      <alignment horizontal="left"/>
    </xf>
    <xf numFmtId="0" fontId="1" fillId="24" borderId="1" xfId="0" applyFont="1" applyFill="1" applyBorder="1" applyAlignment="1">
      <alignment horizontal="left" wrapText="1"/>
    </xf>
    <xf numFmtId="0" fontId="1" fillId="24" borderId="1" xfId="0" applyFont="1" applyFill="1" applyBorder="1" applyAlignment="1">
      <alignment horizontal="left"/>
    </xf>
    <xf numFmtId="0" fontId="1" fillId="24" borderId="0" xfId="0" applyFont="1" applyFill="1" applyAlignment="1">
      <alignment horizontal="left"/>
    </xf>
    <xf numFmtId="0" fontId="7" fillId="24" borderId="5" xfId="0" applyFont="1" applyFill="1" applyBorder="1" applyAlignment="1">
      <alignment horizontal="left"/>
    </xf>
    <xf numFmtId="0" fontId="7" fillId="24" borderId="6" xfId="0" applyFont="1" applyFill="1" applyBorder="1" applyAlignment="1">
      <alignment horizontal="left"/>
    </xf>
    <xf numFmtId="0" fontId="7" fillId="24" borderId="7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309C-4709-E145-A737-6719F198B505}">
  <dimension ref="A1:D30"/>
  <sheetViews>
    <sheetView topLeftCell="A7" zoomScale="117" zoomScaleNormal="117" workbookViewId="0">
      <selection activeCell="C32" sqref="C32"/>
    </sheetView>
  </sheetViews>
  <sheetFormatPr baseColWidth="10" defaultRowHeight="16" x14ac:dyDescent="0.2"/>
  <cols>
    <col min="1" max="1" width="12.6640625" bestFit="1" customWidth="1"/>
    <col min="2" max="2" width="8.83203125" customWidth="1"/>
    <col min="3" max="3" width="65.6640625" bestFit="1" customWidth="1"/>
    <col min="4" max="4" width="16.83203125" bestFit="1" customWidth="1"/>
    <col min="5" max="5" width="7.1640625" bestFit="1" customWidth="1"/>
    <col min="6" max="6" width="6.6640625" bestFit="1" customWidth="1"/>
  </cols>
  <sheetData>
    <row r="1" spans="1:4" x14ac:dyDescent="0.2">
      <c r="A1" s="2" t="s">
        <v>46</v>
      </c>
    </row>
    <row r="2" spans="1:4" x14ac:dyDescent="0.2">
      <c r="A2" s="33" t="s">
        <v>40</v>
      </c>
      <c r="B2" s="33" t="s">
        <v>37</v>
      </c>
      <c r="C2" s="33" t="s">
        <v>38</v>
      </c>
      <c r="D2" s="33" t="s">
        <v>45</v>
      </c>
    </row>
    <row r="3" spans="1:4" x14ac:dyDescent="0.2">
      <c r="A3" s="34"/>
      <c r="B3" s="31">
        <v>1</v>
      </c>
      <c r="C3" s="36" t="s">
        <v>39</v>
      </c>
      <c r="D3" s="37"/>
    </row>
    <row r="4" spans="1:4" x14ac:dyDescent="0.2">
      <c r="A4" s="61" t="s">
        <v>48</v>
      </c>
      <c r="B4" s="60">
        <v>2</v>
      </c>
      <c r="C4" s="36" t="s">
        <v>25</v>
      </c>
      <c r="D4" s="37"/>
    </row>
    <row r="5" spans="1:4" x14ac:dyDescent="0.2">
      <c r="A5" s="61"/>
      <c r="B5" s="61"/>
      <c r="C5" s="30" t="s">
        <v>23</v>
      </c>
      <c r="D5" s="32" t="s">
        <v>26</v>
      </c>
    </row>
    <row r="6" spans="1:4" x14ac:dyDescent="0.2">
      <c r="A6" s="62"/>
      <c r="B6" s="62"/>
      <c r="C6" s="30" t="s">
        <v>24</v>
      </c>
      <c r="D6" s="32">
        <v>1250867.7656529518</v>
      </c>
    </row>
    <row r="7" spans="1:4" ht="34" x14ac:dyDescent="0.2">
      <c r="A7" s="60" t="s">
        <v>43</v>
      </c>
      <c r="B7" s="60">
        <v>3</v>
      </c>
      <c r="C7" s="38" t="s">
        <v>52</v>
      </c>
      <c r="D7" s="37"/>
    </row>
    <row r="8" spans="1:4" ht="17" x14ac:dyDescent="0.2">
      <c r="A8" s="61"/>
      <c r="B8" s="61"/>
      <c r="C8" s="40" t="s">
        <v>59</v>
      </c>
      <c r="D8" s="26" t="s">
        <v>60</v>
      </c>
    </row>
    <row r="9" spans="1:4" x14ac:dyDescent="0.2">
      <c r="A9" s="61"/>
      <c r="B9" s="62"/>
      <c r="C9" s="30" t="s">
        <v>18</v>
      </c>
      <c r="D9" s="31">
        <v>37</v>
      </c>
    </row>
    <row r="10" spans="1:4" x14ac:dyDescent="0.2">
      <c r="A10" s="61"/>
      <c r="B10" s="60">
        <v>4</v>
      </c>
      <c r="C10" s="36" t="s">
        <v>50</v>
      </c>
      <c r="D10" s="39"/>
    </row>
    <row r="11" spans="1:4" x14ac:dyDescent="0.2">
      <c r="A11" s="61"/>
      <c r="B11" s="62"/>
      <c r="C11" s="30" t="s">
        <v>53</v>
      </c>
      <c r="D11" s="31">
        <v>3</v>
      </c>
    </row>
    <row r="12" spans="1:4" ht="34" x14ac:dyDescent="0.2">
      <c r="A12" s="61"/>
      <c r="B12" s="60">
        <v>5</v>
      </c>
      <c r="C12" s="38" t="s">
        <v>49</v>
      </c>
      <c r="D12" s="37"/>
    </row>
    <row r="13" spans="1:4" x14ac:dyDescent="0.2">
      <c r="A13" s="35" t="s">
        <v>47</v>
      </c>
      <c r="B13" s="61"/>
      <c r="C13" s="30" t="s">
        <v>27</v>
      </c>
      <c r="D13" s="31">
        <v>21</v>
      </c>
    </row>
    <row r="14" spans="1:4" x14ac:dyDescent="0.2">
      <c r="A14" s="35"/>
      <c r="B14" s="62"/>
      <c r="C14" s="30" t="s">
        <v>28</v>
      </c>
      <c r="D14" s="31">
        <f>522-444-21</f>
        <v>57</v>
      </c>
    </row>
    <row r="15" spans="1:4" ht="35" customHeight="1" x14ac:dyDescent="0.2">
      <c r="A15" s="61" t="s">
        <v>43</v>
      </c>
      <c r="B15" s="60">
        <v>6</v>
      </c>
      <c r="C15" s="38" t="s">
        <v>34</v>
      </c>
      <c r="D15" s="37"/>
    </row>
    <row r="16" spans="1:4" x14ac:dyDescent="0.2">
      <c r="A16" s="61"/>
      <c r="B16" s="61"/>
      <c r="C16" s="30" t="s">
        <v>30</v>
      </c>
      <c r="D16" s="26">
        <v>160832</v>
      </c>
    </row>
    <row r="17" spans="1:4" x14ac:dyDescent="0.2">
      <c r="A17" s="61"/>
      <c r="B17" s="61"/>
      <c r="C17" s="30" t="s">
        <v>31</v>
      </c>
      <c r="D17" s="26">
        <v>140792</v>
      </c>
    </row>
    <row r="18" spans="1:4" x14ac:dyDescent="0.2">
      <c r="A18" s="61"/>
      <c r="B18" s="61"/>
      <c r="C18" s="30" t="s">
        <v>32</v>
      </c>
      <c r="D18" s="26">
        <v>20040</v>
      </c>
    </row>
    <row r="19" spans="1:4" x14ac:dyDescent="0.2">
      <c r="A19" s="62"/>
      <c r="B19" s="62"/>
      <c r="C19" s="30" t="s">
        <v>33</v>
      </c>
      <c r="D19" s="26">
        <v>18605</v>
      </c>
    </row>
    <row r="20" spans="1:4" x14ac:dyDescent="0.2">
      <c r="A20" s="63" t="s">
        <v>44</v>
      </c>
      <c r="B20" s="60">
        <v>7</v>
      </c>
      <c r="C20" s="36" t="s">
        <v>41</v>
      </c>
      <c r="D20" s="37"/>
    </row>
    <row r="21" spans="1:4" x14ac:dyDescent="0.2">
      <c r="A21" s="64"/>
      <c r="B21" s="61"/>
      <c r="C21" s="30" t="s">
        <v>29</v>
      </c>
      <c r="D21" s="26">
        <v>1550</v>
      </c>
    </row>
    <row r="22" spans="1:4" x14ac:dyDescent="0.2">
      <c r="A22" s="65"/>
      <c r="B22" s="62"/>
      <c r="C22" s="30" t="s">
        <v>35</v>
      </c>
      <c r="D22" s="26">
        <v>1030</v>
      </c>
    </row>
    <row r="23" spans="1:4" x14ac:dyDescent="0.2">
      <c r="A23" s="63" t="s">
        <v>42</v>
      </c>
      <c r="B23" s="60">
        <v>8</v>
      </c>
      <c r="C23" s="36" t="s">
        <v>36</v>
      </c>
      <c r="D23" s="37"/>
    </row>
    <row r="24" spans="1:4" x14ac:dyDescent="0.2">
      <c r="A24" s="65"/>
      <c r="B24" s="62"/>
      <c r="C24" s="30" t="s">
        <v>29</v>
      </c>
      <c r="D24" s="26">
        <v>60</v>
      </c>
    </row>
    <row r="25" spans="1:4" ht="34" x14ac:dyDescent="0.2">
      <c r="A25" s="66" t="s">
        <v>43</v>
      </c>
      <c r="B25" s="66">
        <v>9</v>
      </c>
      <c r="C25" s="38" t="s">
        <v>51</v>
      </c>
      <c r="D25" s="37"/>
    </row>
    <row r="26" spans="1:4" x14ac:dyDescent="0.2">
      <c r="A26" s="66"/>
      <c r="B26" s="66"/>
      <c r="C26" s="30" t="s">
        <v>57</v>
      </c>
      <c r="D26" s="26">
        <v>18970</v>
      </c>
    </row>
    <row r="27" spans="1:4" x14ac:dyDescent="0.2">
      <c r="A27" s="66"/>
      <c r="B27" s="66"/>
      <c r="C27" s="30" t="s">
        <v>54</v>
      </c>
      <c r="D27" s="33">
        <v>16226</v>
      </c>
    </row>
    <row r="28" spans="1:4" x14ac:dyDescent="0.2">
      <c r="A28" s="66"/>
      <c r="B28" s="66"/>
      <c r="C28" s="30" t="s">
        <v>55</v>
      </c>
      <c r="D28" s="33">
        <v>8573</v>
      </c>
    </row>
    <row r="29" spans="1:4" x14ac:dyDescent="0.2">
      <c r="A29" s="66"/>
      <c r="B29" s="66"/>
      <c r="C29" s="30" t="s">
        <v>56</v>
      </c>
      <c r="D29" s="26">
        <v>19150</v>
      </c>
    </row>
    <row r="30" spans="1:4" x14ac:dyDescent="0.2">
      <c r="A30" s="66"/>
      <c r="B30" s="66"/>
      <c r="C30" s="30" t="s">
        <v>58</v>
      </c>
      <c r="D30" s="33">
        <v>8097</v>
      </c>
    </row>
  </sheetData>
  <mergeCells count="14">
    <mergeCell ref="A25:A30"/>
    <mergeCell ref="B25:B30"/>
    <mergeCell ref="B23:B24"/>
    <mergeCell ref="B20:B22"/>
    <mergeCell ref="B15:B19"/>
    <mergeCell ref="B12:B14"/>
    <mergeCell ref="A20:A22"/>
    <mergeCell ref="A23:A24"/>
    <mergeCell ref="B4:B6"/>
    <mergeCell ref="B7:B9"/>
    <mergeCell ref="A4:A6"/>
    <mergeCell ref="A15:A19"/>
    <mergeCell ref="A7:A12"/>
    <mergeCell ref="B10:B1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CA3B-F063-EF43-8D44-2EEAFBE2CADF}">
  <dimension ref="A1:R35"/>
  <sheetViews>
    <sheetView tabSelected="1" workbookViewId="0">
      <selection activeCell="B36" sqref="B36"/>
    </sheetView>
  </sheetViews>
  <sheetFormatPr baseColWidth="10" defaultRowHeight="16" x14ac:dyDescent="0.2"/>
  <cols>
    <col min="1" max="1" width="9.83203125" customWidth="1"/>
    <col min="2" max="2" width="24" customWidth="1"/>
    <col min="5" max="5" width="10.83203125" bestFit="1" customWidth="1"/>
    <col min="6" max="6" width="20.1640625" bestFit="1" customWidth="1"/>
    <col min="7" max="7" width="22.1640625" bestFit="1" customWidth="1"/>
    <col min="8" max="8" width="13.1640625" customWidth="1"/>
    <col min="9" max="12" width="12.1640625" customWidth="1"/>
    <col min="13" max="13" width="8.5" customWidth="1"/>
  </cols>
  <sheetData>
    <row r="1" spans="1:18" x14ac:dyDescent="0.2">
      <c r="A1" s="69" t="s">
        <v>99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18" x14ac:dyDescent="0.2">
      <c r="A2" s="42" t="s">
        <v>85</v>
      </c>
      <c r="B2" s="42" t="s">
        <v>87</v>
      </c>
      <c r="C2" s="42" t="s">
        <v>84</v>
      </c>
      <c r="D2" s="42" t="s">
        <v>144</v>
      </c>
      <c r="E2" s="42" t="s">
        <v>145</v>
      </c>
      <c r="F2" s="42" t="s">
        <v>155</v>
      </c>
      <c r="G2" s="81" t="s">
        <v>157</v>
      </c>
      <c r="H2" s="81" t="s">
        <v>165</v>
      </c>
      <c r="I2" s="44" t="s">
        <v>97</v>
      </c>
      <c r="J2" s="44" t="s">
        <v>107</v>
      </c>
      <c r="K2" s="44" t="s">
        <v>101</v>
      </c>
      <c r="L2" s="44" t="s">
        <v>102</v>
      </c>
      <c r="M2" s="44" t="s">
        <v>103</v>
      </c>
      <c r="N2" s="44" t="s">
        <v>104</v>
      </c>
      <c r="O2" s="44" t="s">
        <v>105</v>
      </c>
      <c r="P2" s="44" t="s">
        <v>106</v>
      </c>
      <c r="Q2" s="44" t="s">
        <v>95</v>
      </c>
      <c r="R2" s="44" t="s">
        <v>96</v>
      </c>
    </row>
    <row r="3" spans="1:18" x14ac:dyDescent="0.2">
      <c r="A3" s="1" t="s">
        <v>78</v>
      </c>
      <c r="B3" s="1" t="s">
        <v>19</v>
      </c>
      <c r="C3" s="1" t="s">
        <v>8</v>
      </c>
      <c r="D3" s="1" t="s">
        <v>19</v>
      </c>
      <c r="E3" s="1" t="s">
        <v>156</v>
      </c>
      <c r="F3" s="1" t="s">
        <v>156</v>
      </c>
      <c r="G3" s="80" t="s">
        <v>156</v>
      </c>
      <c r="H3" s="80" t="s">
        <v>156</v>
      </c>
      <c r="I3" s="31">
        <v>17.8</v>
      </c>
      <c r="J3" s="45">
        <v>0.22630434782608699</v>
      </c>
      <c r="K3" s="45">
        <v>0.22752</v>
      </c>
      <c r="L3" s="45">
        <v>0.22251000000000001</v>
      </c>
      <c r="M3" s="45">
        <v>0.22783999999999999</v>
      </c>
      <c r="N3" s="45">
        <v>1.06E-3</v>
      </c>
      <c r="O3" s="31">
        <v>1.6800000000000001E-3</v>
      </c>
      <c r="P3" s="31">
        <v>1.5299999999999999E-3</v>
      </c>
      <c r="Q3" s="31">
        <v>1.57E-3</v>
      </c>
      <c r="R3" s="31">
        <v>1.5089999999999999E-2</v>
      </c>
    </row>
    <row r="4" spans="1:18" x14ac:dyDescent="0.2">
      <c r="A4" s="1" t="s">
        <v>77</v>
      </c>
      <c r="B4" s="1" t="s">
        <v>19</v>
      </c>
      <c r="C4" s="1" t="s">
        <v>9</v>
      </c>
      <c r="D4" s="1" t="s">
        <v>19</v>
      </c>
      <c r="E4" s="1" t="s">
        <v>156</v>
      </c>
      <c r="F4" s="1" t="s">
        <v>156</v>
      </c>
      <c r="G4" s="80" t="s">
        <v>156</v>
      </c>
      <c r="H4" s="80" t="s">
        <v>156</v>
      </c>
      <c r="I4" s="31">
        <v>33.6</v>
      </c>
      <c r="J4" s="45">
        <v>0.26662068965517199</v>
      </c>
      <c r="K4" s="45">
        <v>0.26612999999999998</v>
      </c>
      <c r="L4" s="45">
        <v>0.27251999999999998</v>
      </c>
      <c r="M4" s="45">
        <v>0.27773999999999999</v>
      </c>
      <c r="N4" s="45">
        <v>3.3279999999999997E-2</v>
      </c>
      <c r="O4" s="31">
        <v>1.5900000000000001E-3</v>
      </c>
      <c r="P4" s="31">
        <v>1.48E-3</v>
      </c>
      <c r="Q4" s="31">
        <v>1.5E-3</v>
      </c>
      <c r="R4" s="31">
        <v>2.281E-2</v>
      </c>
    </row>
    <row r="5" spans="1:18" x14ac:dyDescent="0.2">
      <c r="A5" s="1" t="s">
        <v>79</v>
      </c>
      <c r="B5" s="1" t="s">
        <v>88</v>
      </c>
      <c r="C5" s="1" t="s">
        <v>5</v>
      </c>
      <c r="D5" s="1" t="s">
        <v>63</v>
      </c>
      <c r="E5" s="1" t="s">
        <v>146</v>
      </c>
      <c r="F5" s="1" t="s">
        <v>140</v>
      </c>
      <c r="G5" s="80" t="s">
        <v>93</v>
      </c>
      <c r="H5" s="80" t="s">
        <v>166</v>
      </c>
      <c r="I5" s="31">
        <v>76.2</v>
      </c>
      <c r="J5" s="45">
        <v>0.27817241379310298</v>
      </c>
      <c r="K5" s="45">
        <v>0.27847</v>
      </c>
      <c r="L5" s="45">
        <v>0.27960000000000002</v>
      </c>
      <c r="M5" s="45">
        <v>0.28483000000000003</v>
      </c>
      <c r="N5" s="45">
        <v>1.7979999999999999E-2</v>
      </c>
      <c r="O5" s="31">
        <v>1.39E-3</v>
      </c>
      <c r="P5" s="31">
        <v>1.2899999999999999E-3</v>
      </c>
      <c r="Q5" s="31">
        <v>1.31E-3</v>
      </c>
      <c r="R5" s="31">
        <v>1.6119999999999999E-2</v>
      </c>
    </row>
    <row r="6" spans="1:18" x14ac:dyDescent="0.2">
      <c r="A6" s="1" t="s">
        <v>80</v>
      </c>
      <c r="B6" s="1" t="s">
        <v>89</v>
      </c>
      <c r="C6" s="1" t="s">
        <v>6</v>
      </c>
      <c r="D6" s="1" t="s">
        <v>63</v>
      </c>
      <c r="E6" s="1" t="s">
        <v>146</v>
      </c>
      <c r="F6" s="1" t="s">
        <v>140</v>
      </c>
      <c r="G6" s="80" t="s">
        <v>94</v>
      </c>
      <c r="H6" s="80" t="s">
        <v>167</v>
      </c>
      <c r="I6" s="31">
        <v>266.89999999999998</v>
      </c>
      <c r="J6" s="45">
        <v>0.28285185185185202</v>
      </c>
      <c r="K6" s="45">
        <v>0.28359000000000001</v>
      </c>
      <c r="L6" s="45">
        <v>0.28471999999999997</v>
      </c>
      <c r="M6" s="45">
        <v>0.29044999999999999</v>
      </c>
      <c r="N6" s="45">
        <v>1.822E-2</v>
      </c>
      <c r="O6" s="31">
        <v>1.41E-3</v>
      </c>
      <c r="P6" s="31">
        <v>1.2999999999999999E-3</v>
      </c>
      <c r="Q6" s="31">
        <v>1.33E-3</v>
      </c>
      <c r="R6" s="31">
        <v>1.453E-2</v>
      </c>
    </row>
    <row r="7" spans="1:18" x14ac:dyDescent="0.2">
      <c r="A7" s="1" t="s">
        <v>67</v>
      </c>
      <c r="B7" s="1" t="s">
        <v>89</v>
      </c>
      <c r="C7" s="1" t="s">
        <v>14</v>
      </c>
      <c r="D7" s="1" t="s">
        <v>63</v>
      </c>
      <c r="E7" s="1" t="s">
        <v>146</v>
      </c>
      <c r="F7" s="1" t="s">
        <v>140</v>
      </c>
      <c r="G7" s="80" t="s">
        <v>93</v>
      </c>
      <c r="H7" s="80" t="s">
        <v>166</v>
      </c>
      <c r="I7" s="31">
        <v>509.2</v>
      </c>
      <c r="J7" s="45">
        <v>0.30070588235294099</v>
      </c>
      <c r="K7" s="45">
        <v>0.29957</v>
      </c>
      <c r="L7" s="45">
        <v>0.29733999999999999</v>
      </c>
      <c r="M7" s="45">
        <v>0.30746000000000001</v>
      </c>
      <c r="N7" s="45">
        <v>2.2159999999999999E-2</v>
      </c>
      <c r="O7" s="31">
        <v>1.42E-3</v>
      </c>
      <c r="P7" s="31">
        <v>1.2199999999999999E-3</v>
      </c>
      <c r="Q7" s="31">
        <v>1.2700000000000001E-3</v>
      </c>
      <c r="R7" s="31">
        <v>1.521E-2</v>
      </c>
    </row>
    <row r="8" spans="1:18" x14ac:dyDescent="0.2">
      <c r="A8" s="1" t="s">
        <v>71</v>
      </c>
      <c r="B8" s="1" t="s">
        <v>90</v>
      </c>
      <c r="C8" s="1" t="s">
        <v>10</v>
      </c>
      <c r="D8" s="1" t="s">
        <v>63</v>
      </c>
      <c r="E8" s="1" t="s">
        <v>146</v>
      </c>
      <c r="F8" s="1" t="s">
        <v>140</v>
      </c>
      <c r="G8" s="80" t="s">
        <v>93</v>
      </c>
      <c r="H8" s="80" t="s">
        <v>166</v>
      </c>
      <c r="I8" s="31">
        <v>65.3</v>
      </c>
      <c r="J8" s="45">
        <v>0.28882758620689702</v>
      </c>
      <c r="K8" s="45">
        <v>0.28905999999999998</v>
      </c>
      <c r="L8" s="45">
        <v>0.28928999999999999</v>
      </c>
      <c r="M8" s="45">
        <v>0.29470000000000002</v>
      </c>
      <c r="N8" s="45">
        <v>1.6969999999999999E-2</v>
      </c>
      <c r="O8" s="31">
        <v>1.39E-3</v>
      </c>
      <c r="P8" s="31">
        <v>1.2700000000000001E-3</v>
      </c>
      <c r="Q8" s="31">
        <v>1.2999999999999999E-3</v>
      </c>
      <c r="R8" s="31">
        <v>1.6E-2</v>
      </c>
    </row>
    <row r="9" spans="1:18" x14ac:dyDescent="0.2">
      <c r="A9" s="1" t="s">
        <v>74</v>
      </c>
      <c r="B9" s="1" t="s">
        <v>90</v>
      </c>
      <c r="C9" s="1" t="s">
        <v>11</v>
      </c>
      <c r="D9" s="1" t="s">
        <v>63</v>
      </c>
      <c r="E9" s="1" t="s">
        <v>146</v>
      </c>
      <c r="F9" s="1" t="s">
        <v>140</v>
      </c>
      <c r="G9" s="80" t="s">
        <v>93</v>
      </c>
      <c r="H9" s="80" t="s">
        <v>166</v>
      </c>
      <c r="I9" s="31">
        <v>49.1</v>
      </c>
      <c r="J9" s="45">
        <v>0.27906249999999999</v>
      </c>
      <c r="K9" s="45">
        <v>0.2797</v>
      </c>
      <c r="L9" s="45">
        <v>0.28758</v>
      </c>
      <c r="M9" s="45">
        <v>0.29746</v>
      </c>
      <c r="N9" s="45">
        <v>4.8250000000000001E-2</v>
      </c>
      <c r="O9" s="31">
        <v>1.4499999999999999E-3</v>
      </c>
      <c r="P9" s="31">
        <v>1.2999999999999999E-3</v>
      </c>
      <c r="Q9" s="31">
        <v>1.3500000000000001E-3</v>
      </c>
      <c r="R9" s="31">
        <v>9.5099999999999994E-3</v>
      </c>
    </row>
    <row r="10" spans="1:18" x14ac:dyDescent="0.2">
      <c r="A10" s="1" t="s">
        <v>76</v>
      </c>
      <c r="B10" s="1" t="s">
        <v>91</v>
      </c>
      <c r="C10" s="1" t="s">
        <v>1</v>
      </c>
      <c r="D10" s="1" t="s">
        <v>63</v>
      </c>
      <c r="E10" s="1" t="s">
        <v>146</v>
      </c>
      <c r="F10" s="1" t="s">
        <v>140</v>
      </c>
      <c r="G10" s="80" t="s">
        <v>93</v>
      </c>
      <c r="H10" s="80" t="s">
        <v>166</v>
      </c>
      <c r="I10" s="31">
        <v>240.6</v>
      </c>
      <c r="J10" s="45">
        <v>0.29913333333333297</v>
      </c>
      <c r="K10" s="45">
        <v>0.29898999999999998</v>
      </c>
      <c r="L10" s="45">
        <v>0.30554999999999999</v>
      </c>
      <c r="M10" s="45">
        <v>0.31103999999999998</v>
      </c>
      <c r="N10" s="45">
        <v>3.3919999999999999E-2</v>
      </c>
      <c r="O10" s="31">
        <v>1.2600000000000001E-3</v>
      </c>
      <c r="P10" s="31">
        <v>1.17E-3</v>
      </c>
      <c r="Q10" s="31">
        <v>1.1999999999999999E-3</v>
      </c>
      <c r="R10" s="31">
        <v>1.5520000000000001E-2</v>
      </c>
    </row>
    <row r="11" spans="1:18" x14ac:dyDescent="0.2">
      <c r="A11" s="1" t="s">
        <v>75</v>
      </c>
      <c r="B11" s="1" t="s">
        <v>91</v>
      </c>
      <c r="C11" s="1" t="s">
        <v>7</v>
      </c>
      <c r="D11" s="1" t="s">
        <v>63</v>
      </c>
      <c r="E11" s="1" t="s">
        <v>146</v>
      </c>
      <c r="F11" s="1" t="s">
        <v>140</v>
      </c>
      <c r="G11" s="80" t="s">
        <v>93</v>
      </c>
      <c r="H11" s="80" t="s">
        <v>166</v>
      </c>
      <c r="I11" s="31">
        <v>175.7</v>
      </c>
      <c r="J11" s="45">
        <v>0.30796551724137899</v>
      </c>
      <c r="K11" s="45">
        <v>0.30753000000000003</v>
      </c>
      <c r="L11" s="45">
        <v>0.30914000000000003</v>
      </c>
      <c r="M11" s="45">
        <v>0.31485000000000002</v>
      </c>
      <c r="N11" s="45">
        <v>2.0580000000000001E-2</v>
      </c>
      <c r="O11" s="31">
        <v>1.2800000000000001E-3</v>
      </c>
      <c r="P11" s="31">
        <v>1.16E-3</v>
      </c>
      <c r="Q11" s="31">
        <v>1.1900000000000001E-3</v>
      </c>
      <c r="R11" s="31">
        <v>1.37E-2</v>
      </c>
    </row>
    <row r="12" spans="1:18" x14ac:dyDescent="0.2">
      <c r="A12" s="1" t="s">
        <v>66</v>
      </c>
      <c r="B12" s="1" t="s">
        <v>91</v>
      </c>
      <c r="C12" s="1" t="s">
        <v>17</v>
      </c>
      <c r="D12" s="1" t="s">
        <v>63</v>
      </c>
      <c r="E12" s="1" t="s">
        <v>146</v>
      </c>
      <c r="F12" s="1" t="s">
        <v>140</v>
      </c>
      <c r="G12" s="80" t="s">
        <v>93</v>
      </c>
      <c r="H12" s="80" t="s">
        <v>166</v>
      </c>
      <c r="I12" s="31">
        <v>278.39999999999998</v>
      </c>
      <c r="J12" s="45">
        <v>0.30557142857142899</v>
      </c>
      <c r="K12" s="45">
        <v>0.30531999999999998</v>
      </c>
      <c r="L12" s="45">
        <v>0.30620000000000003</v>
      </c>
      <c r="M12" s="45">
        <v>0.31397999999999998</v>
      </c>
      <c r="N12" s="45">
        <v>2.3699999999999999E-2</v>
      </c>
      <c r="O12" s="31">
        <v>1.33E-3</v>
      </c>
      <c r="P12" s="31">
        <v>1.1800000000000001E-3</v>
      </c>
      <c r="Q12" s="31">
        <v>1.2099999999999999E-3</v>
      </c>
      <c r="R12" s="31">
        <v>8.9700000000000005E-3</v>
      </c>
    </row>
    <row r="13" spans="1:18" x14ac:dyDescent="0.2">
      <c r="A13" s="1" t="s">
        <v>83</v>
      </c>
      <c r="B13" s="1" t="s">
        <v>88</v>
      </c>
      <c r="C13" s="1" t="s">
        <v>3</v>
      </c>
      <c r="D13" s="1" t="s">
        <v>63</v>
      </c>
      <c r="E13" s="1" t="s">
        <v>146</v>
      </c>
      <c r="F13" s="1" t="s">
        <v>141</v>
      </c>
      <c r="G13" s="80" t="s">
        <v>94</v>
      </c>
      <c r="H13" s="80" t="s">
        <v>167</v>
      </c>
      <c r="I13" s="31">
        <v>111.5</v>
      </c>
      <c r="J13" s="45">
        <v>0.27085185185185201</v>
      </c>
      <c r="K13" s="45">
        <v>0.27073000000000003</v>
      </c>
      <c r="L13" s="45">
        <v>0.26984999999999998</v>
      </c>
      <c r="M13" s="45">
        <v>0.27532000000000001</v>
      </c>
      <c r="N13" s="45">
        <v>1.3129999999999999E-2</v>
      </c>
      <c r="O13" s="31">
        <v>1.4300000000000001E-3</v>
      </c>
      <c r="P13" s="31">
        <v>1.32E-3</v>
      </c>
      <c r="Q13" s="31">
        <v>1.3500000000000001E-3</v>
      </c>
      <c r="R13" s="31">
        <v>1.822E-2</v>
      </c>
    </row>
    <row r="14" spans="1:18" x14ac:dyDescent="0.2">
      <c r="A14" s="1" t="s">
        <v>81</v>
      </c>
      <c r="B14" s="1" t="s">
        <v>88</v>
      </c>
      <c r="C14" s="1" t="s">
        <v>4</v>
      </c>
      <c r="D14" s="1" t="s">
        <v>63</v>
      </c>
      <c r="E14" s="1" t="s">
        <v>146</v>
      </c>
      <c r="F14" s="1" t="s">
        <v>141</v>
      </c>
      <c r="G14" s="80" t="s">
        <v>94</v>
      </c>
      <c r="H14" s="80" t="s">
        <v>167</v>
      </c>
      <c r="I14" s="31">
        <v>37.299999999999997</v>
      </c>
      <c r="J14" s="45">
        <v>0.26935999999999999</v>
      </c>
      <c r="K14" s="45">
        <v>0.26965</v>
      </c>
      <c r="L14" s="45">
        <v>0.26748</v>
      </c>
      <c r="M14" s="45">
        <v>0.27344000000000002</v>
      </c>
      <c r="N14" s="45">
        <v>1.2370000000000001E-2</v>
      </c>
      <c r="O14" s="31">
        <v>1.49E-3</v>
      </c>
      <c r="P14" s="31">
        <v>1.3600000000000001E-3</v>
      </c>
      <c r="Q14" s="31">
        <v>1.39E-3</v>
      </c>
      <c r="R14" s="31">
        <v>1.736E-2</v>
      </c>
    </row>
    <row r="15" spans="1:18" x14ac:dyDescent="0.2">
      <c r="A15" s="1" t="s">
        <v>70</v>
      </c>
      <c r="B15" s="1" t="s">
        <v>92</v>
      </c>
      <c r="C15" s="1" t="s">
        <v>2</v>
      </c>
      <c r="D15" s="1" t="s">
        <v>63</v>
      </c>
      <c r="E15" s="1" t="s">
        <v>146</v>
      </c>
      <c r="F15" s="1" t="s">
        <v>141</v>
      </c>
      <c r="G15" s="80" t="s">
        <v>94</v>
      </c>
      <c r="H15" s="80" t="s">
        <v>167</v>
      </c>
      <c r="I15" s="31">
        <v>68.400000000000006</v>
      </c>
      <c r="J15" s="45">
        <v>0.26228000000000001</v>
      </c>
      <c r="K15" s="45">
        <v>0.26323999999999997</v>
      </c>
      <c r="L15" s="45">
        <v>0.26425999999999999</v>
      </c>
      <c r="M15" s="45">
        <v>0.27002999999999999</v>
      </c>
      <c r="N15" s="45">
        <v>1.9109999999999999E-2</v>
      </c>
      <c r="O15" s="31">
        <v>1.47E-3</v>
      </c>
      <c r="P15" s="31">
        <v>1.3600000000000001E-3</v>
      </c>
      <c r="Q15" s="31">
        <v>1.39E-3</v>
      </c>
      <c r="R15" s="31">
        <v>1.3559999999999999E-2</v>
      </c>
    </row>
    <row r="16" spans="1:18" x14ac:dyDescent="0.2">
      <c r="A16" s="1" t="s">
        <v>69</v>
      </c>
      <c r="B16" s="1" t="s">
        <v>92</v>
      </c>
      <c r="C16" s="1" t="s">
        <v>15</v>
      </c>
      <c r="D16" s="1" t="s">
        <v>63</v>
      </c>
      <c r="E16" s="1" t="s">
        <v>146</v>
      </c>
      <c r="F16" s="1" t="s">
        <v>141</v>
      </c>
      <c r="G16" s="80" t="s">
        <v>94</v>
      </c>
      <c r="H16" s="80" t="s">
        <v>167</v>
      </c>
      <c r="I16" s="31">
        <v>65.5</v>
      </c>
      <c r="J16" s="45">
        <v>0.25651851851851898</v>
      </c>
      <c r="K16" s="45">
        <v>0.25729999999999997</v>
      </c>
      <c r="L16" s="45">
        <v>0.25670999999999999</v>
      </c>
      <c r="M16" s="45">
        <v>0.26182</v>
      </c>
      <c r="N16" s="45">
        <v>1.4030000000000001E-2</v>
      </c>
      <c r="O16" s="31">
        <v>1.48E-3</v>
      </c>
      <c r="P16" s="31">
        <v>1.3799999999999999E-3</v>
      </c>
      <c r="Q16" s="31">
        <v>1.41E-3</v>
      </c>
      <c r="R16" s="31">
        <v>1.3480000000000001E-2</v>
      </c>
    </row>
    <row r="17" spans="1:18" x14ac:dyDescent="0.2">
      <c r="A17" s="1" t="s">
        <v>68</v>
      </c>
      <c r="B17" s="1" t="s">
        <v>92</v>
      </c>
      <c r="C17" s="1" t="s">
        <v>16</v>
      </c>
      <c r="D17" s="1" t="s">
        <v>63</v>
      </c>
      <c r="E17" s="1" t="s">
        <v>146</v>
      </c>
      <c r="F17" s="1" t="s">
        <v>141</v>
      </c>
      <c r="G17" s="80" t="s">
        <v>93</v>
      </c>
      <c r="H17" s="80" t="s">
        <v>166</v>
      </c>
      <c r="I17" s="31">
        <v>44</v>
      </c>
      <c r="J17" s="45">
        <v>0.26156000000000001</v>
      </c>
      <c r="K17" s="45">
        <v>0.26205000000000001</v>
      </c>
      <c r="L17" s="45">
        <v>0.26003999999999999</v>
      </c>
      <c r="M17" s="45">
        <v>0.26568999999999998</v>
      </c>
      <c r="N17" s="45">
        <v>9.3500000000000007E-3</v>
      </c>
      <c r="O17" s="31">
        <v>1.49E-3</v>
      </c>
      <c r="P17" s="31">
        <v>1.3699999999999999E-3</v>
      </c>
      <c r="Q17" s="31">
        <v>1.4E-3</v>
      </c>
      <c r="R17" s="31">
        <v>1.3679999999999999E-2</v>
      </c>
    </row>
    <row r="18" spans="1:18" x14ac:dyDescent="0.2">
      <c r="A18" s="1" t="s">
        <v>82</v>
      </c>
      <c r="B18" s="1" t="s">
        <v>91</v>
      </c>
      <c r="C18" s="1" t="s">
        <v>0</v>
      </c>
      <c r="D18" s="1" t="s">
        <v>63</v>
      </c>
      <c r="E18" s="1" t="s">
        <v>146</v>
      </c>
      <c r="F18" s="1" t="s">
        <v>141</v>
      </c>
      <c r="G18" s="80" t="s">
        <v>94</v>
      </c>
      <c r="H18" s="80" t="s">
        <v>167</v>
      </c>
      <c r="I18" s="31">
        <v>80.900000000000006</v>
      </c>
      <c r="J18" s="45">
        <v>0.28234999999999999</v>
      </c>
      <c r="K18" s="45">
        <v>0.28281000000000001</v>
      </c>
      <c r="L18" s="45">
        <v>0.27787000000000001</v>
      </c>
      <c r="M18" s="45">
        <v>0.28567999999999999</v>
      </c>
      <c r="N18" s="45">
        <v>7.8200000000000006E-3</v>
      </c>
      <c r="O18" s="31">
        <v>1.5E-3</v>
      </c>
      <c r="P18" s="31">
        <v>1.33E-3</v>
      </c>
      <c r="Q18" s="31">
        <v>1.3699999999999999E-3</v>
      </c>
      <c r="R18" s="31">
        <v>1.3220000000000001E-2</v>
      </c>
    </row>
    <row r="19" spans="1:18" x14ac:dyDescent="0.2">
      <c r="A19" s="1" t="s">
        <v>73</v>
      </c>
      <c r="B19" s="1" t="s">
        <v>22</v>
      </c>
      <c r="C19" s="1" t="s">
        <v>12</v>
      </c>
      <c r="D19" s="1" t="s">
        <v>63</v>
      </c>
      <c r="E19" s="1" t="s">
        <v>147</v>
      </c>
      <c r="F19" s="1" t="s">
        <v>143</v>
      </c>
      <c r="G19" s="80" t="s">
        <v>22</v>
      </c>
      <c r="H19" s="80" t="s">
        <v>22</v>
      </c>
      <c r="I19" s="31">
        <v>22.3</v>
      </c>
      <c r="J19" s="45">
        <v>0.23153333333333301</v>
      </c>
      <c r="K19" s="45">
        <v>0.23261999999999999</v>
      </c>
      <c r="L19" s="45">
        <v>0.22040999999999999</v>
      </c>
      <c r="M19" s="45">
        <v>0.22856000000000001</v>
      </c>
      <c r="N19" s="45">
        <v>-7.45E-3</v>
      </c>
      <c r="O19" s="31">
        <v>1.7700000000000001E-3</v>
      </c>
      <c r="P19" s="31">
        <v>1.5399999999999999E-3</v>
      </c>
      <c r="Q19" s="31">
        <v>1.6000000000000001E-3</v>
      </c>
      <c r="R19" s="31">
        <v>9.7300000000000008E-3</v>
      </c>
    </row>
    <row r="20" spans="1:18" x14ac:dyDescent="0.2">
      <c r="A20" s="1" t="s">
        <v>72</v>
      </c>
      <c r="B20" s="1" t="s">
        <v>22</v>
      </c>
      <c r="C20" s="1" t="s">
        <v>13</v>
      </c>
      <c r="D20" s="1" t="s">
        <v>63</v>
      </c>
      <c r="E20" s="1" t="s">
        <v>147</v>
      </c>
      <c r="F20" s="1" t="s">
        <v>143</v>
      </c>
      <c r="G20" s="80" t="s">
        <v>22</v>
      </c>
      <c r="H20" s="80" t="s">
        <v>22</v>
      </c>
      <c r="I20" s="31">
        <v>63.3</v>
      </c>
      <c r="J20" s="45">
        <v>0.181166666666667</v>
      </c>
      <c r="K20" s="45">
        <v>0.18279000000000001</v>
      </c>
      <c r="L20" s="45">
        <v>0.18198</v>
      </c>
      <c r="M20" s="45">
        <v>0.18548999999999999</v>
      </c>
      <c r="N20" s="45">
        <v>9.5899999999999996E-3</v>
      </c>
      <c r="O20" s="31">
        <v>1.57E-3</v>
      </c>
      <c r="P20" s="31">
        <v>1.47E-3</v>
      </c>
      <c r="Q20" s="31">
        <v>1.5E-3</v>
      </c>
      <c r="R20" s="31">
        <v>2.8420000000000001E-2</v>
      </c>
    </row>
    <row r="21" spans="1:18" x14ac:dyDescent="0.2">
      <c r="A21" s="67" t="s">
        <v>108</v>
      </c>
      <c r="B21" s="68"/>
      <c r="C21" s="68"/>
      <c r="D21" s="68"/>
      <c r="E21" s="68"/>
      <c r="F21" s="68"/>
      <c r="G21" s="68"/>
    </row>
    <row r="23" spans="1:18" ht="34" customHeight="1" x14ac:dyDescent="0.2">
      <c r="A23" s="71" t="s">
        <v>148</v>
      </c>
      <c r="B23" s="71"/>
      <c r="C23" s="71"/>
      <c r="D23" s="71"/>
      <c r="E23" s="71"/>
      <c r="F23" s="71"/>
      <c r="G23" s="71"/>
    </row>
    <row r="24" spans="1:18" x14ac:dyDescent="0.2">
      <c r="A24" s="46" t="s">
        <v>62</v>
      </c>
      <c r="B24" s="46" t="s">
        <v>98</v>
      </c>
      <c r="C24" s="33" t="s">
        <v>65</v>
      </c>
      <c r="D24" s="33" t="s">
        <v>64</v>
      </c>
      <c r="E24" s="33" t="s">
        <v>101</v>
      </c>
      <c r="F24" s="33" t="s">
        <v>102</v>
      </c>
      <c r="G24" s="33" t="s">
        <v>100</v>
      </c>
    </row>
    <row r="25" spans="1:18" x14ac:dyDescent="0.2">
      <c r="A25" s="60" t="s">
        <v>144</v>
      </c>
      <c r="B25" s="46" t="s">
        <v>63</v>
      </c>
      <c r="C25" s="26">
        <v>16</v>
      </c>
      <c r="D25" s="26">
        <v>392</v>
      </c>
      <c r="E25" s="26">
        <v>0.27300000000000002</v>
      </c>
      <c r="F25" s="26">
        <v>0.27200000000000002</v>
      </c>
      <c r="G25" s="26">
        <v>0.27200000000000002</v>
      </c>
      <c r="J25" s="54"/>
    </row>
    <row r="26" spans="1:18" x14ac:dyDescent="0.2">
      <c r="A26" s="62"/>
      <c r="B26" s="46" t="s">
        <v>19</v>
      </c>
      <c r="C26" s="26">
        <v>2</v>
      </c>
      <c r="D26" s="26">
        <v>52</v>
      </c>
      <c r="E26" s="26">
        <v>0.247</v>
      </c>
      <c r="F26" s="26">
        <v>0.248</v>
      </c>
      <c r="G26" s="26">
        <v>0.249</v>
      </c>
      <c r="J26" s="54"/>
    </row>
    <row r="27" spans="1:18" x14ac:dyDescent="0.2">
      <c r="A27" s="60" t="s">
        <v>145</v>
      </c>
      <c r="B27" s="46" t="s">
        <v>146</v>
      </c>
      <c r="C27" s="26">
        <v>14</v>
      </c>
      <c r="D27" s="26">
        <v>347</v>
      </c>
      <c r="E27" s="26">
        <v>0.28199999999999997</v>
      </c>
      <c r="F27" s="26">
        <v>0.28299999999999997</v>
      </c>
      <c r="G27" s="26">
        <v>0.28199999999999997</v>
      </c>
    </row>
    <row r="28" spans="1:18" x14ac:dyDescent="0.2">
      <c r="A28" s="62"/>
      <c r="B28" s="46" t="s">
        <v>147</v>
      </c>
      <c r="C28" s="26">
        <v>2</v>
      </c>
      <c r="D28" s="26">
        <v>45</v>
      </c>
      <c r="E28" s="26">
        <v>0.20799999999999999</v>
      </c>
      <c r="F28" s="26">
        <v>0.20100000000000001</v>
      </c>
      <c r="G28" s="26">
        <v>0.19800000000000001</v>
      </c>
    </row>
    <row r="29" spans="1:18" x14ac:dyDescent="0.2">
      <c r="A29" s="60" t="s">
        <v>86</v>
      </c>
      <c r="B29" s="46" t="s">
        <v>140</v>
      </c>
      <c r="C29" s="26">
        <v>8</v>
      </c>
      <c r="D29" s="26">
        <v>198</v>
      </c>
      <c r="E29" s="26">
        <v>0.29299999999999998</v>
      </c>
      <c r="F29" s="26">
        <v>0.29499999999999998</v>
      </c>
      <c r="G29" s="26">
        <v>0.29299999999999998</v>
      </c>
    </row>
    <row r="30" spans="1:18" x14ac:dyDescent="0.2">
      <c r="A30" s="61"/>
      <c r="B30" s="46" t="s">
        <v>142</v>
      </c>
      <c r="C30" s="26">
        <v>6</v>
      </c>
      <c r="D30" s="26">
        <v>149</v>
      </c>
      <c r="E30" s="26">
        <v>0.26800000000000002</v>
      </c>
      <c r="F30" s="26">
        <v>0.26600000000000001</v>
      </c>
      <c r="G30" s="26">
        <v>0.26700000000000002</v>
      </c>
    </row>
    <row r="31" spans="1:18" x14ac:dyDescent="0.2">
      <c r="A31" s="62"/>
      <c r="B31" s="46" t="s">
        <v>143</v>
      </c>
      <c r="C31" s="26">
        <v>2</v>
      </c>
      <c r="D31" s="26">
        <v>45</v>
      </c>
      <c r="E31" s="26">
        <v>0.20799999999999999</v>
      </c>
      <c r="F31" s="26">
        <v>0.20100000000000001</v>
      </c>
      <c r="G31" s="26">
        <v>0.19800000000000001</v>
      </c>
    </row>
    <row r="32" spans="1:18" x14ac:dyDescent="0.2">
      <c r="A32" s="64" t="s">
        <v>162</v>
      </c>
      <c r="B32" s="46" t="s">
        <v>163</v>
      </c>
      <c r="C32" s="26">
        <v>8</v>
      </c>
      <c r="D32" s="26">
        <v>196</v>
      </c>
      <c r="E32" s="26">
        <v>0.28999999999999998</v>
      </c>
      <c r="F32" s="26">
        <v>0.29199999999999998</v>
      </c>
      <c r="G32" s="26">
        <v>0.28999999999999998</v>
      </c>
    </row>
    <row r="33" spans="1:7" x14ac:dyDescent="0.2">
      <c r="A33" s="64"/>
      <c r="B33" s="46" t="s">
        <v>164</v>
      </c>
      <c r="C33" s="26">
        <v>6</v>
      </c>
      <c r="D33" s="26">
        <v>151</v>
      </c>
      <c r="E33" s="26">
        <v>0.27100000000000002</v>
      </c>
      <c r="F33" s="26">
        <v>0.27</v>
      </c>
      <c r="G33" s="26">
        <v>0.27</v>
      </c>
    </row>
    <row r="34" spans="1:7" x14ac:dyDescent="0.2">
      <c r="A34" s="65"/>
      <c r="B34" s="46" t="s">
        <v>161</v>
      </c>
      <c r="C34" s="26">
        <v>2</v>
      </c>
      <c r="D34" s="26">
        <v>45</v>
      </c>
      <c r="E34" s="26">
        <v>0.20799999999999999</v>
      </c>
      <c r="F34" s="26">
        <v>0.20100000000000001</v>
      </c>
      <c r="G34" s="26">
        <v>0.19800000000000001</v>
      </c>
    </row>
    <row r="35" spans="1:7" x14ac:dyDescent="0.2">
      <c r="A35" s="67" t="s">
        <v>108</v>
      </c>
      <c r="B35" s="68"/>
      <c r="C35" s="68"/>
      <c r="D35" s="68"/>
      <c r="E35" s="68"/>
      <c r="F35" s="68"/>
      <c r="G35" s="68"/>
    </row>
  </sheetData>
  <sortState xmlns:xlrd2="http://schemas.microsoft.com/office/spreadsheetml/2017/richdata2" ref="B32:G34">
    <sortCondition ref="B32:B34"/>
  </sortState>
  <mergeCells count="8">
    <mergeCell ref="A35:G35"/>
    <mergeCell ref="A1:R1"/>
    <mergeCell ref="A23:G23"/>
    <mergeCell ref="A25:A26"/>
    <mergeCell ref="A29:A31"/>
    <mergeCell ref="A32:A34"/>
    <mergeCell ref="A27:A28"/>
    <mergeCell ref="A21:G2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2B63-51CE-4C49-B04B-45C6669D414B}">
  <dimension ref="A1:S20"/>
  <sheetViews>
    <sheetView workbookViewId="0">
      <selection activeCell="V13" sqref="V13"/>
    </sheetView>
  </sheetViews>
  <sheetFormatPr baseColWidth="10" defaultRowHeight="16" x14ac:dyDescent="0.2"/>
  <cols>
    <col min="1" max="1" width="5.6640625" bestFit="1" customWidth="1"/>
  </cols>
  <sheetData>
    <row r="1" spans="1:19" x14ac:dyDescent="0.2">
      <c r="A1" s="70" t="s">
        <v>158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19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</row>
    <row r="3" spans="1:19" x14ac:dyDescent="0.2">
      <c r="A3" s="3" t="s">
        <v>0</v>
      </c>
      <c r="B3" s="57"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</row>
    <row r="4" spans="1:19" x14ac:dyDescent="0.2">
      <c r="A4" s="3" t="s">
        <v>1</v>
      </c>
      <c r="B4" s="28">
        <v>2.7300000000000001E-2</v>
      </c>
      <c r="C4" s="29">
        <v>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</row>
    <row r="5" spans="1:19" x14ac:dyDescent="0.2">
      <c r="A5" s="3" t="s">
        <v>2</v>
      </c>
      <c r="B5" s="28">
        <v>5.91E-2</v>
      </c>
      <c r="C5" s="28">
        <v>4.7100000000000003E-2</v>
      </c>
      <c r="D5" s="29">
        <v>0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</row>
    <row r="6" spans="1:19" x14ac:dyDescent="0.2">
      <c r="A6" s="3" t="s">
        <v>3</v>
      </c>
      <c r="B6" s="28">
        <v>5.9200000000000003E-2</v>
      </c>
      <c r="C6" s="28">
        <v>4.6100000000000002E-2</v>
      </c>
      <c r="D6" s="28">
        <v>7.3099999999999998E-2</v>
      </c>
      <c r="E6" s="29">
        <v>0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19" x14ac:dyDescent="0.2">
      <c r="A7" s="3" t="s">
        <v>4</v>
      </c>
      <c r="B7" s="28">
        <v>6.3399999999999998E-2</v>
      </c>
      <c r="C7" s="28">
        <v>5.0500000000000003E-2</v>
      </c>
      <c r="D7" s="28">
        <v>7.8E-2</v>
      </c>
      <c r="E7" s="28">
        <v>9.4999999999999998E-3</v>
      </c>
      <c r="F7" s="29">
        <v>0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1:19" x14ac:dyDescent="0.2">
      <c r="A8" s="3" t="s">
        <v>5</v>
      </c>
      <c r="B8" s="28">
        <v>5.3999999999999999E-2</v>
      </c>
      <c r="C8" s="28">
        <v>3.9E-2</v>
      </c>
      <c r="D8" s="28">
        <v>6.8599999999999994E-2</v>
      </c>
      <c r="E8" s="28">
        <v>6.1000000000000004E-3</v>
      </c>
      <c r="F8" s="28">
        <v>1.06E-2</v>
      </c>
      <c r="G8" s="29">
        <v>0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19" x14ac:dyDescent="0.2">
      <c r="A9" s="3" t="s">
        <v>6</v>
      </c>
      <c r="B9" s="28">
        <v>6.13E-2</v>
      </c>
      <c r="C9" s="28">
        <v>4.4600000000000001E-2</v>
      </c>
      <c r="D9" s="28">
        <v>8.6400000000000005E-2</v>
      </c>
      <c r="E9" s="28">
        <v>7.5700000000000003E-2</v>
      </c>
      <c r="F9" s="28">
        <v>7.9399999999999998E-2</v>
      </c>
      <c r="G9" s="28">
        <v>6.9000000000000006E-2</v>
      </c>
      <c r="H9" s="29">
        <v>0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1:19" x14ac:dyDescent="0.2">
      <c r="A10" s="3" t="s">
        <v>7</v>
      </c>
      <c r="B10" s="28">
        <v>3.04E-2</v>
      </c>
      <c r="C10" s="28">
        <v>6.3E-3</v>
      </c>
      <c r="D10" s="28">
        <v>5.4300000000000001E-2</v>
      </c>
      <c r="E10" s="28">
        <v>5.16E-2</v>
      </c>
      <c r="F10" s="28">
        <v>5.6300000000000003E-2</v>
      </c>
      <c r="G10" s="28">
        <v>4.4699999999999997E-2</v>
      </c>
      <c r="H10" s="28">
        <v>4.65E-2</v>
      </c>
      <c r="I10" s="29">
        <v>0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1:19" x14ac:dyDescent="0.2">
      <c r="A11" s="3" t="s">
        <v>8</v>
      </c>
      <c r="B11" s="28">
        <v>0.22600000000000001</v>
      </c>
      <c r="C11" s="28">
        <v>0.183</v>
      </c>
      <c r="D11" s="28">
        <v>0.26769999999999999</v>
      </c>
      <c r="E11" s="28">
        <v>0.24679999999999999</v>
      </c>
      <c r="F11" s="28">
        <v>0.25459999999999999</v>
      </c>
      <c r="G11" s="28">
        <v>0.23139999999999999</v>
      </c>
      <c r="H11" s="28">
        <v>0.2014</v>
      </c>
      <c r="I11" s="28">
        <v>0.17169999999999999</v>
      </c>
      <c r="J11" s="29">
        <v>0</v>
      </c>
      <c r="K11" s="28"/>
      <c r="L11" s="28"/>
      <c r="M11" s="28"/>
      <c r="N11" s="28"/>
      <c r="O11" s="28"/>
      <c r="P11" s="28"/>
      <c r="Q11" s="28"/>
      <c r="R11" s="28"/>
      <c r="S11" s="28"/>
    </row>
    <row r="12" spans="1:19" x14ac:dyDescent="0.2">
      <c r="A12" s="3" t="s">
        <v>9</v>
      </c>
      <c r="B12" s="28">
        <v>0.25869999999999999</v>
      </c>
      <c r="C12" s="28">
        <v>0.21240000000000001</v>
      </c>
      <c r="D12" s="28">
        <v>0.28899999999999998</v>
      </c>
      <c r="E12" s="28">
        <v>0.26769999999999999</v>
      </c>
      <c r="F12" s="28">
        <v>0.27539999999999998</v>
      </c>
      <c r="G12" s="28">
        <v>0.25509999999999999</v>
      </c>
      <c r="H12" s="28">
        <v>0.2407</v>
      </c>
      <c r="I12" s="28">
        <v>0.2039</v>
      </c>
      <c r="J12" s="28">
        <v>0.29170000000000001</v>
      </c>
      <c r="K12" s="29">
        <v>0</v>
      </c>
      <c r="L12" s="28"/>
      <c r="M12" s="28"/>
      <c r="N12" s="28"/>
      <c r="O12" s="28"/>
      <c r="P12" s="28"/>
      <c r="Q12" s="28"/>
      <c r="R12" s="28"/>
      <c r="S12" s="28"/>
    </row>
    <row r="13" spans="1:19" x14ac:dyDescent="0.2">
      <c r="A13" s="3" t="s">
        <v>10</v>
      </c>
      <c r="B13" s="28">
        <v>7.1999999999999995E-2</v>
      </c>
      <c r="C13" s="28">
        <v>5.3199999999999997E-2</v>
      </c>
      <c r="D13" s="28">
        <v>9.9299999999999999E-2</v>
      </c>
      <c r="E13" s="28">
        <v>8.0100000000000005E-2</v>
      </c>
      <c r="F13" s="28">
        <v>8.5599999999999996E-2</v>
      </c>
      <c r="G13" s="28">
        <v>7.2900000000000006E-2</v>
      </c>
      <c r="H13" s="28">
        <v>7.8200000000000006E-2</v>
      </c>
      <c r="I13" s="28">
        <v>5.1700000000000003E-2</v>
      </c>
      <c r="J13" s="28">
        <v>0.1951</v>
      </c>
      <c r="K13" s="28">
        <v>0.2243</v>
      </c>
      <c r="L13" s="29">
        <v>0</v>
      </c>
      <c r="M13" s="28"/>
      <c r="N13" s="28"/>
      <c r="O13" s="28"/>
      <c r="P13" s="28"/>
      <c r="Q13" s="28"/>
      <c r="R13" s="28"/>
      <c r="S13" s="28"/>
    </row>
    <row r="14" spans="1:19" x14ac:dyDescent="0.2">
      <c r="A14" s="3" t="s">
        <v>11</v>
      </c>
      <c r="B14" s="28">
        <v>7.1300000000000002E-2</v>
      </c>
      <c r="C14" s="28">
        <v>5.0200000000000002E-2</v>
      </c>
      <c r="D14" s="28">
        <v>9.9599999999999994E-2</v>
      </c>
      <c r="E14" s="28">
        <v>8.2199999999999995E-2</v>
      </c>
      <c r="F14" s="28">
        <v>8.8300000000000003E-2</v>
      </c>
      <c r="G14" s="28">
        <v>7.4800000000000005E-2</v>
      </c>
      <c r="H14" s="28">
        <v>7.6499999999999999E-2</v>
      </c>
      <c r="I14" s="28">
        <v>4.9299999999999997E-2</v>
      </c>
      <c r="J14" s="28">
        <v>0.20019999999999999</v>
      </c>
      <c r="K14" s="28">
        <v>0.22170000000000001</v>
      </c>
      <c r="L14" s="58" t="s">
        <v>160</v>
      </c>
      <c r="M14" s="29">
        <v>0</v>
      </c>
      <c r="N14" s="28"/>
      <c r="O14" s="28"/>
      <c r="P14" s="28"/>
      <c r="Q14" s="28"/>
      <c r="R14" s="28"/>
      <c r="S14" s="28"/>
    </row>
    <row r="15" spans="1:19" x14ac:dyDescent="0.2">
      <c r="A15" s="3" t="s">
        <v>12</v>
      </c>
      <c r="B15" s="28">
        <v>0.21540000000000001</v>
      </c>
      <c r="C15" s="28">
        <v>0.17710000000000001</v>
      </c>
      <c r="D15" s="28">
        <v>0.25009999999999999</v>
      </c>
      <c r="E15" s="28">
        <v>0.23599999999999999</v>
      </c>
      <c r="F15" s="28">
        <v>0.23949999999999999</v>
      </c>
      <c r="G15" s="28">
        <v>0.22059999999999999</v>
      </c>
      <c r="H15" s="28">
        <v>0.2024</v>
      </c>
      <c r="I15" s="28">
        <v>0.17180000000000001</v>
      </c>
      <c r="J15" s="28">
        <v>0.27950000000000003</v>
      </c>
      <c r="K15" s="28">
        <v>0.29770000000000002</v>
      </c>
      <c r="L15" s="28">
        <v>0.19989999999999999</v>
      </c>
      <c r="M15" s="28">
        <v>0.20399999999999999</v>
      </c>
      <c r="N15" s="29">
        <v>0</v>
      </c>
      <c r="O15" s="28"/>
      <c r="P15" s="28"/>
      <c r="Q15" s="28"/>
      <c r="R15" s="28"/>
      <c r="S15" s="28"/>
    </row>
    <row r="16" spans="1:19" x14ac:dyDescent="0.2">
      <c r="A16" s="3" t="s">
        <v>13</v>
      </c>
      <c r="B16" s="28">
        <v>0.28549999999999998</v>
      </c>
      <c r="C16" s="28">
        <v>0.245</v>
      </c>
      <c r="D16" s="28">
        <v>0.307</v>
      </c>
      <c r="E16" s="28">
        <v>0.29060000000000002</v>
      </c>
      <c r="F16" s="28">
        <v>0.3</v>
      </c>
      <c r="G16" s="28">
        <v>0.2797</v>
      </c>
      <c r="H16" s="28">
        <v>0.2792</v>
      </c>
      <c r="I16" s="28">
        <v>0.24179999999999999</v>
      </c>
      <c r="J16" s="28">
        <v>0.37880000000000003</v>
      </c>
      <c r="K16" s="28">
        <v>0.3715</v>
      </c>
      <c r="L16" s="28">
        <v>0.27729999999999999</v>
      </c>
      <c r="M16" s="28">
        <v>0.28849999999999998</v>
      </c>
      <c r="N16" s="28">
        <v>0.31559999999999999</v>
      </c>
      <c r="O16" s="29">
        <v>0</v>
      </c>
      <c r="P16" s="28"/>
      <c r="Q16" s="28"/>
      <c r="R16" s="28"/>
      <c r="S16" s="28"/>
    </row>
    <row r="17" spans="1:19" x14ac:dyDescent="0.2">
      <c r="A17" s="3" t="s">
        <v>14</v>
      </c>
      <c r="B17" s="28">
        <v>3.1600000000000003E-2</v>
      </c>
      <c r="C17" s="28">
        <v>1.23E-2</v>
      </c>
      <c r="D17" s="28">
        <v>5.2999999999999999E-2</v>
      </c>
      <c r="E17" s="28">
        <v>3.5700000000000003E-2</v>
      </c>
      <c r="F17" s="28">
        <v>4.1300000000000003E-2</v>
      </c>
      <c r="G17" s="28">
        <v>2.8899999999999999E-2</v>
      </c>
      <c r="H17" s="28">
        <v>4.2200000000000001E-2</v>
      </c>
      <c r="I17" s="28">
        <v>1.5800000000000002E-2</v>
      </c>
      <c r="J17" s="28">
        <v>0.1903</v>
      </c>
      <c r="K17" s="28">
        <v>0.21460000000000001</v>
      </c>
      <c r="L17" s="28">
        <v>4.7600000000000003E-2</v>
      </c>
      <c r="M17" s="28">
        <v>4.5699999999999998E-2</v>
      </c>
      <c r="N17" s="28">
        <v>0.18720000000000001</v>
      </c>
      <c r="O17" s="28">
        <v>0.26329999999999998</v>
      </c>
      <c r="P17" s="29">
        <v>0</v>
      </c>
      <c r="Q17" s="28"/>
      <c r="R17" s="28"/>
      <c r="S17" s="28"/>
    </row>
    <row r="18" spans="1:19" x14ac:dyDescent="0.2">
      <c r="A18" s="3" t="s">
        <v>15</v>
      </c>
      <c r="B18" s="28">
        <v>8.2000000000000003E-2</v>
      </c>
      <c r="C18" s="28">
        <v>6.88E-2</v>
      </c>
      <c r="D18" s="28">
        <v>6.7100000000000007E-2</v>
      </c>
      <c r="E18" s="28">
        <v>9.4200000000000006E-2</v>
      </c>
      <c r="F18" s="28">
        <v>9.8199999999999996E-2</v>
      </c>
      <c r="G18" s="28">
        <v>8.9200000000000002E-2</v>
      </c>
      <c r="H18" s="28">
        <v>0.10730000000000001</v>
      </c>
      <c r="I18" s="28">
        <v>7.46E-2</v>
      </c>
      <c r="J18" s="28">
        <v>0.27710000000000001</v>
      </c>
      <c r="K18" s="28">
        <v>0.2954</v>
      </c>
      <c r="L18" s="28">
        <v>0.1201</v>
      </c>
      <c r="M18" s="28">
        <v>0.1203</v>
      </c>
      <c r="N18" s="28">
        <v>0.26369999999999999</v>
      </c>
      <c r="O18" s="28">
        <v>0.31759999999999999</v>
      </c>
      <c r="P18" s="28">
        <v>7.4099999999999999E-2</v>
      </c>
      <c r="Q18" s="29">
        <v>0</v>
      </c>
      <c r="R18" s="28"/>
      <c r="S18" s="28"/>
    </row>
    <row r="19" spans="1:19" x14ac:dyDescent="0.2">
      <c r="A19" s="3" t="s">
        <v>16</v>
      </c>
      <c r="B19" s="28">
        <v>8.2699999999999996E-2</v>
      </c>
      <c r="C19" s="28">
        <v>6.8000000000000005E-2</v>
      </c>
      <c r="D19" s="28">
        <v>7.0099999999999996E-2</v>
      </c>
      <c r="E19" s="28">
        <v>9.4500000000000001E-2</v>
      </c>
      <c r="F19" s="28">
        <v>9.7600000000000006E-2</v>
      </c>
      <c r="G19" s="28">
        <v>8.8499999999999995E-2</v>
      </c>
      <c r="H19" s="28">
        <v>0.1048</v>
      </c>
      <c r="I19" s="28">
        <v>7.2499999999999995E-2</v>
      </c>
      <c r="J19" s="28">
        <v>0.27589999999999998</v>
      </c>
      <c r="K19" s="28">
        <v>0.28649999999999998</v>
      </c>
      <c r="L19" s="28">
        <v>0.1187</v>
      </c>
      <c r="M19" s="28">
        <v>0.1179</v>
      </c>
      <c r="N19" s="28">
        <v>0.2596</v>
      </c>
      <c r="O19" s="28">
        <v>0.316</v>
      </c>
      <c r="P19" s="28">
        <v>7.3999999999999996E-2</v>
      </c>
      <c r="Q19" s="28">
        <v>6.1999999999999998E-3</v>
      </c>
      <c r="R19" s="29">
        <v>0</v>
      </c>
      <c r="S19" s="28"/>
    </row>
    <row r="20" spans="1:19" x14ac:dyDescent="0.2">
      <c r="A20" s="3" t="s">
        <v>17</v>
      </c>
      <c r="B20" s="28">
        <v>3.0499999999999999E-2</v>
      </c>
      <c r="C20" s="59" t="s">
        <v>159</v>
      </c>
      <c r="D20" s="28">
        <v>5.1299999999999998E-2</v>
      </c>
      <c r="E20" s="28">
        <v>5.0099999999999999E-2</v>
      </c>
      <c r="F20" s="28">
        <v>5.4800000000000001E-2</v>
      </c>
      <c r="G20" s="28">
        <v>4.2200000000000001E-2</v>
      </c>
      <c r="H20" s="28">
        <v>4.5999999999999999E-2</v>
      </c>
      <c r="I20" s="28">
        <v>5.0000000000000001E-3</v>
      </c>
      <c r="J20" s="28">
        <v>0.18390000000000001</v>
      </c>
      <c r="K20" s="28">
        <v>0.20830000000000001</v>
      </c>
      <c r="L20" s="28">
        <v>5.3900000000000003E-2</v>
      </c>
      <c r="M20" s="28">
        <v>5.1299999999999998E-2</v>
      </c>
      <c r="N20" s="28">
        <v>0.17949999999999999</v>
      </c>
      <c r="O20" s="28">
        <v>0.255</v>
      </c>
      <c r="P20" s="28">
        <v>1.35E-2</v>
      </c>
      <c r="Q20" s="28">
        <v>7.3300000000000004E-2</v>
      </c>
      <c r="R20" s="28">
        <v>7.2499999999999995E-2</v>
      </c>
      <c r="S20" s="29">
        <v>0</v>
      </c>
    </row>
  </sheetData>
  <mergeCells count="1">
    <mergeCell ref="A1:S1"/>
  </mergeCells>
  <conditionalFormatting sqref="B20:R20 B4 B19:Q19 S19 B18:P18 R18:S18 B17:O17 Q17:S17 B16:N16 P16:S16 B15:M15 O15:S15 B14:L14 N14:S14 B13:K13 M13:S13 B12:J12 L12:S12 B11:I11 K11:S11 B10:H10 J10:S10 B9:G9 I9:S9 B8:F8 H8:S8 B7:E7 G7:S7 B6:D6 F6:S6 B5:C5 E5:S5 C3:S3 D4:S4">
    <cfRule type="colorScale" priority="2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B8D89-A183-4F4C-8C9B-35A35B6ECADF}">
  <dimension ref="A2:J24"/>
  <sheetViews>
    <sheetView workbookViewId="0">
      <selection activeCell="F35" sqref="F35"/>
    </sheetView>
  </sheetViews>
  <sheetFormatPr baseColWidth="10" defaultRowHeight="16" x14ac:dyDescent="0.2"/>
  <sheetData>
    <row r="2" spans="1:10" x14ac:dyDescent="0.2">
      <c r="A2" s="72" t="s">
        <v>150</v>
      </c>
      <c r="B2" s="72"/>
      <c r="C2" s="72"/>
      <c r="D2" s="72"/>
      <c r="E2" s="72"/>
      <c r="F2" s="72"/>
      <c r="G2" s="72"/>
      <c r="H2" s="72"/>
      <c r="I2" s="72"/>
      <c r="J2" s="72"/>
    </row>
    <row r="3" spans="1:10" x14ac:dyDescent="0.2">
      <c r="A3" s="1"/>
      <c r="B3" s="1"/>
      <c r="C3" s="26" t="s">
        <v>19</v>
      </c>
      <c r="D3" s="26" t="s">
        <v>19</v>
      </c>
      <c r="E3" s="26" t="s">
        <v>20</v>
      </c>
      <c r="F3" s="26" t="s">
        <v>20</v>
      </c>
      <c r="G3" s="26" t="s">
        <v>20</v>
      </c>
      <c r="H3" s="26" t="s">
        <v>21</v>
      </c>
      <c r="I3" s="26" t="s">
        <v>20</v>
      </c>
      <c r="J3" s="26" t="s">
        <v>22</v>
      </c>
    </row>
    <row r="4" spans="1:10" x14ac:dyDescent="0.2">
      <c r="A4" s="1"/>
      <c r="B4" s="1"/>
      <c r="C4" s="26" t="s">
        <v>8</v>
      </c>
      <c r="D4" s="26" t="s">
        <v>9</v>
      </c>
      <c r="E4" s="26" t="s">
        <v>5</v>
      </c>
      <c r="F4" s="26" t="s">
        <v>6</v>
      </c>
      <c r="G4" s="26" t="s">
        <v>14</v>
      </c>
      <c r="H4" s="26" t="s">
        <v>15</v>
      </c>
      <c r="I4" s="26" t="s">
        <v>17</v>
      </c>
      <c r="J4" s="26" t="s">
        <v>12</v>
      </c>
    </row>
    <row r="5" spans="1:10" x14ac:dyDescent="0.2">
      <c r="A5" s="1" t="s">
        <v>19</v>
      </c>
      <c r="B5" s="1" t="s">
        <v>9</v>
      </c>
      <c r="C5" s="26">
        <v>5.81</v>
      </c>
      <c r="D5" s="26"/>
      <c r="E5" s="26"/>
      <c r="F5" s="26"/>
      <c r="G5" s="26"/>
      <c r="H5" s="26"/>
      <c r="I5" s="1"/>
      <c r="J5" s="1"/>
    </row>
    <row r="6" spans="1:10" x14ac:dyDescent="0.2">
      <c r="A6" s="1" t="s">
        <v>20</v>
      </c>
      <c r="B6" s="1" t="s">
        <v>5</v>
      </c>
      <c r="C6" s="26">
        <v>5.38</v>
      </c>
      <c r="D6" s="26">
        <v>6.63</v>
      </c>
      <c r="E6" s="26"/>
      <c r="F6" s="26"/>
      <c r="G6" s="26"/>
      <c r="H6" s="26"/>
      <c r="I6" s="1"/>
      <c r="J6" s="1"/>
    </row>
    <row r="7" spans="1:10" x14ac:dyDescent="0.2">
      <c r="A7" s="1" t="s">
        <v>20</v>
      </c>
      <c r="B7" s="1" t="s">
        <v>6</v>
      </c>
      <c r="C7" s="26">
        <v>7.24</v>
      </c>
      <c r="D7" s="26">
        <v>10.02</v>
      </c>
      <c r="E7" s="26">
        <v>5.39</v>
      </c>
      <c r="F7" s="26"/>
      <c r="G7" s="26"/>
      <c r="H7" s="26"/>
      <c r="I7" s="1"/>
      <c r="J7" s="1"/>
    </row>
    <row r="8" spans="1:10" x14ac:dyDescent="0.2">
      <c r="A8" s="1" t="s">
        <v>20</v>
      </c>
      <c r="B8" s="1" t="s">
        <v>14</v>
      </c>
      <c r="C8" s="26">
        <v>7.53</v>
      </c>
      <c r="D8" s="26">
        <v>7.94</v>
      </c>
      <c r="E8" s="26">
        <v>5.45</v>
      </c>
      <c r="F8" s="26">
        <v>4.33</v>
      </c>
      <c r="G8" s="26"/>
      <c r="H8" s="26"/>
      <c r="I8" s="1"/>
      <c r="J8" s="1"/>
    </row>
    <row r="9" spans="1:10" x14ac:dyDescent="0.2">
      <c r="A9" s="1" t="s">
        <v>21</v>
      </c>
      <c r="B9" s="1" t="s">
        <v>15</v>
      </c>
      <c r="C9" s="26">
        <v>5.97</v>
      </c>
      <c r="D9" s="26">
        <v>8.3800000000000008</v>
      </c>
      <c r="E9" s="26">
        <v>5.23</v>
      </c>
      <c r="F9" s="26">
        <v>4.34</v>
      </c>
      <c r="G9" s="26">
        <v>5.68</v>
      </c>
      <c r="H9" s="26"/>
      <c r="I9" s="1"/>
      <c r="J9" s="1"/>
    </row>
    <row r="10" spans="1:10" x14ac:dyDescent="0.2">
      <c r="A10" s="1" t="s">
        <v>20</v>
      </c>
      <c r="B10" s="1" t="s">
        <v>17</v>
      </c>
      <c r="C10" s="26">
        <v>6.94</v>
      </c>
      <c r="D10" s="26">
        <v>10.52</v>
      </c>
      <c r="E10" s="26">
        <v>5.89</v>
      </c>
      <c r="F10" s="26">
        <v>6.05</v>
      </c>
      <c r="G10" s="26">
        <v>5.22</v>
      </c>
      <c r="H10" s="26">
        <v>3.98</v>
      </c>
      <c r="I10" s="1"/>
      <c r="J10" s="1"/>
    </row>
    <row r="11" spans="1:10" x14ac:dyDescent="0.2">
      <c r="A11" s="1" t="s">
        <v>22</v>
      </c>
      <c r="B11" s="1" t="s">
        <v>12</v>
      </c>
      <c r="C11" s="26">
        <v>13.97</v>
      </c>
      <c r="D11" s="26">
        <v>14.17</v>
      </c>
      <c r="E11" s="26">
        <v>19.93</v>
      </c>
      <c r="F11" s="26">
        <v>17.57</v>
      </c>
      <c r="G11" s="26">
        <v>16.48</v>
      </c>
      <c r="H11" s="26">
        <v>16.059999999999999</v>
      </c>
      <c r="I11" s="26">
        <v>17.8</v>
      </c>
      <c r="J11" s="1"/>
    </row>
    <row r="12" spans="1:10" x14ac:dyDescent="0.2">
      <c r="A12" s="1" t="s">
        <v>22</v>
      </c>
      <c r="B12" s="1" t="s">
        <v>13</v>
      </c>
      <c r="C12" s="26">
        <v>14.42</v>
      </c>
      <c r="D12" s="26">
        <v>15.4</v>
      </c>
      <c r="E12" s="26">
        <v>16.399999999999999</v>
      </c>
      <c r="F12" s="26">
        <v>18.66</v>
      </c>
      <c r="G12" s="26">
        <v>16.170000000000002</v>
      </c>
      <c r="H12" s="26">
        <v>14.14</v>
      </c>
      <c r="I12" s="26">
        <v>17.059999999999999</v>
      </c>
      <c r="J12" s="26">
        <v>5.0599999999999996</v>
      </c>
    </row>
    <row r="14" spans="1:10" x14ac:dyDescent="0.2">
      <c r="A14" s="72" t="s">
        <v>151</v>
      </c>
      <c r="B14" s="72"/>
      <c r="C14" s="72"/>
      <c r="D14" s="72"/>
      <c r="E14" s="72"/>
      <c r="F14" s="72"/>
      <c r="G14" s="72"/>
      <c r="H14" s="72"/>
      <c r="I14" s="72"/>
      <c r="J14" s="72"/>
    </row>
    <row r="15" spans="1:10" x14ac:dyDescent="0.2">
      <c r="A15" s="1"/>
      <c r="B15" s="1"/>
      <c r="C15" s="26" t="s">
        <v>19</v>
      </c>
      <c r="D15" s="26" t="s">
        <v>19</v>
      </c>
      <c r="E15" s="26" t="s">
        <v>20</v>
      </c>
      <c r="F15" s="26" t="s">
        <v>20</v>
      </c>
      <c r="G15" s="26" t="s">
        <v>20</v>
      </c>
      <c r="H15" s="26" t="s">
        <v>21</v>
      </c>
      <c r="I15" s="26" t="s">
        <v>20</v>
      </c>
      <c r="J15" s="26" t="s">
        <v>22</v>
      </c>
    </row>
    <row r="16" spans="1:10" x14ac:dyDescent="0.2">
      <c r="A16" s="1"/>
      <c r="B16" s="1"/>
      <c r="C16" s="26" t="s">
        <v>8</v>
      </c>
      <c r="D16" s="26" t="s">
        <v>9</v>
      </c>
      <c r="E16" s="26" t="s">
        <v>5</v>
      </c>
      <c r="F16" s="26" t="s">
        <v>6</v>
      </c>
      <c r="G16" s="26" t="s">
        <v>14</v>
      </c>
      <c r="H16" s="26" t="s">
        <v>15</v>
      </c>
      <c r="I16" s="26" t="s">
        <v>17</v>
      </c>
      <c r="J16" s="26" t="s">
        <v>12</v>
      </c>
    </row>
    <row r="17" spans="1:10" x14ac:dyDescent="0.2">
      <c r="A17" s="1" t="s">
        <v>19</v>
      </c>
      <c r="B17" s="1" t="s">
        <v>9</v>
      </c>
      <c r="C17" s="26">
        <v>5.3999999999999999E-2</v>
      </c>
      <c r="D17" s="26"/>
      <c r="E17" s="26"/>
      <c r="F17" s="26"/>
      <c r="G17" s="26"/>
      <c r="H17" s="26"/>
      <c r="I17" s="1"/>
      <c r="J17" s="1"/>
    </row>
    <row r="18" spans="1:10" x14ac:dyDescent="0.2">
      <c r="A18" s="1" t="s">
        <v>20</v>
      </c>
      <c r="B18" s="1" t="s">
        <v>5</v>
      </c>
      <c r="C18" s="26">
        <v>3.8899999999999997E-2</v>
      </c>
      <c r="D18" s="26">
        <v>3.5000000000000003E-2</v>
      </c>
      <c r="E18" s="26"/>
      <c r="F18" s="26"/>
      <c r="G18" s="26"/>
      <c r="H18" s="26"/>
      <c r="I18" s="1"/>
      <c r="J18" s="1"/>
    </row>
    <row r="19" spans="1:10" x14ac:dyDescent="0.2">
      <c r="A19" s="1" t="s">
        <v>20</v>
      </c>
      <c r="B19" s="1" t="s">
        <v>6</v>
      </c>
      <c r="C19" s="26">
        <v>4.7300000000000002E-2</v>
      </c>
      <c r="D19" s="26">
        <v>0.05</v>
      </c>
      <c r="E19" s="26">
        <v>2.6599999999999999E-2</v>
      </c>
      <c r="F19" s="26"/>
      <c r="G19" s="26"/>
      <c r="H19" s="26"/>
      <c r="I19" s="1"/>
      <c r="J19" s="1"/>
    </row>
    <row r="20" spans="1:10" x14ac:dyDescent="0.2">
      <c r="A20" s="1" t="s">
        <v>20</v>
      </c>
      <c r="B20" s="1" t="s">
        <v>14</v>
      </c>
      <c r="C20" s="26">
        <v>3.9699999999999999E-2</v>
      </c>
      <c r="D20" s="26">
        <v>4.6699999999999998E-2</v>
      </c>
      <c r="E20" s="26">
        <v>2.0899999999999998E-2</v>
      </c>
      <c r="F20" s="26">
        <v>1.9900000000000001E-2</v>
      </c>
      <c r="G20" s="26"/>
      <c r="H20" s="26"/>
      <c r="I20" s="1"/>
      <c r="J20" s="1"/>
    </row>
    <row r="21" spans="1:10" x14ac:dyDescent="0.2">
      <c r="A21" s="1" t="s">
        <v>21</v>
      </c>
      <c r="B21" s="1" t="s">
        <v>15</v>
      </c>
      <c r="C21" s="26">
        <v>4.5199999999999997E-2</v>
      </c>
      <c r="D21" s="26">
        <v>4.8800000000000003E-2</v>
      </c>
      <c r="E21" s="26">
        <v>0.03</v>
      </c>
      <c r="F21" s="26">
        <v>2.4899999999999999E-2</v>
      </c>
      <c r="G21" s="26">
        <v>2.4E-2</v>
      </c>
      <c r="H21" s="26"/>
      <c r="I21" s="1"/>
      <c r="J21" s="1"/>
    </row>
    <row r="22" spans="1:10" x14ac:dyDescent="0.2">
      <c r="A22" s="1" t="s">
        <v>20</v>
      </c>
      <c r="B22" s="1" t="s">
        <v>17</v>
      </c>
      <c r="C22" s="26">
        <v>4.2700000000000002E-2</v>
      </c>
      <c r="D22" s="26">
        <v>4.2700000000000002E-2</v>
      </c>
      <c r="E22" s="26">
        <v>2.4400000000000002E-2</v>
      </c>
      <c r="F22" s="26">
        <v>2.7699999999999999E-2</v>
      </c>
      <c r="G22" s="26">
        <v>2.63E-2</v>
      </c>
      <c r="H22" s="26">
        <v>2.2800000000000001E-2</v>
      </c>
      <c r="I22" s="1"/>
      <c r="J22" s="1"/>
    </row>
    <row r="23" spans="1:10" x14ac:dyDescent="0.2">
      <c r="A23" s="1" t="s">
        <v>22</v>
      </c>
      <c r="B23" s="1" t="s">
        <v>12</v>
      </c>
      <c r="C23" s="26">
        <v>7.46E-2</v>
      </c>
      <c r="D23" s="26">
        <v>5.3199999999999997E-2</v>
      </c>
      <c r="E23" s="26">
        <v>5.0999999999999997E-2</v>
      </c>
      <c r="F23" s="26">
        <v>5.7000000000000002E-2</v>
      </c>
      <c r="G23" s="26">
        <v>5.5599999999999997E-2</v>
      </c>
      <c r="H23" s="26">
        <v>5.5E-2</v>
      </c>
      <c r="I23" s="26">
        <v>4.82E-2</v>
      </c>
      <c r="J23" s="1"/>
    </row>
    <row r="24" spans="1:10" x14ac:dyDescent="0.2">
      <c r="A24" s="1" t="s">
        <v>22</v>
      </c>
      <c r="B24" s="1" t="s">
        <v>13</v>
      </c>
      <c r="C24" s="26">
        <v>8.1000000000000003E-2</v>
      </c>
      <c r="D24" s="26">
        <v>5.5199999999999999E-2</v>
      </c>
      <c r="E24" s="26">
        <v>5.6000000000000001E-2</v>
      </c>
      <c r="F24" s="26">
        <v>6.1499999999999999E-2</v>
      </c>
      <c r="G24" s="26">
        <v>6.0900000000000003E-2</v>
      </c>
      <c r="H24" s="26">
        <v>5.9799999999999999E-2</v>
      </c>
      <c r="I24" s="26">
        <v>5.5300000000000002E-2</v>
      </c>
      <c r="J24" s="26">
        <v>1.44E-2</v>
      </c>
    </row>
  </sheetData>
  <mergeCells count="2">
    <mergeCell ref="A14:J14"/>
    <mergeCell ref="A2:J2"/>
  </mergeCells>
  <conditionalFormatting sqref="C5:J12">
    <cfRule type="colorScale" priority="2">
      <colorScale>
        <cfvo type="min"/>
        <cfvo type="max"/>
        <color theme="0" tint="-4.9989318521683403E-2"/>
        <color theme="0" tint="-0.499984740745262"/>
      </colorScale>
    </cfRule>
  </conditionalFormatting>
  <conditionalFormatting sqref="C17:J24">
    <cfRule type="colorScale" priority="1">
      <colorScale>
        <cfvo type="min"/>
        <cfvo type="max"/>
        <color theme="0" tint="-4.9989318521683403E-2"/>
        <color theme="0" tint="-0.499984740745262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F55E1-4BB8-B24F-A3FE-D962C3FFFB01}">
  <dimension ref="A1:J11"/>
  <sheetViews>
    <sheetView workbookViewId="0">
      <selection activeCell="B4" sqref="B4:B11"/>
    </sheetView>
  </sheetViews>
  <sheetFormatPr baseColWidth="10" defaultRowHeight="16" x14ac:dyDescent="0.2"/>
  <sheetData>
    <row r="1" spans="1:10" x14ac:dyDescent="0.2">
      <c r="A1" s="70" t="s">
        <v>152</v>
      </c>
      <c r="B1" s="70"/>
      <c r="C1" s="70"/>
      <c r="D1" s="70"/>
      <c r="E1" s="70"/>
      <c r="F1" s="70"/>
      <c r="G1" s="70"/>
      <c r="H1" s="70"/>
      <c r="I1" s="70"/>
      <c r="J1" s="70"/>
    </row>
    <row r="2" spans="1:10" x14ac:dyDescent="0.2">
      <c r="A2" s="3"/>
      <c r="B2" s="3"/>
      <c r="C2" s="4" t="s">
        <v>19</v>
      </c>
      <c r="D2" s="4" t="s">
        <v>19</v>
      </c>
      <c r="E2" s="4" t="s">
        <v>20</v>
      </c>
      <c r="F2" s="4" t="s">
        <v>20</v>
      </c>
      <c r="G2" s="4" t="s">
        <v>20</v>
      </c>
      <c r="H2" s="4" t="s">
        <v>21</v>
      </c>
      <c r="I2" s="4" t="s">
        <v>20</v>
      </c>
      <c r="J2" s="4" t="s">
        <v>22</v>
      </c>
    </row>
    <row r="3" spans="1:10" x14ac:dyDescent="0.2">
      <c r="A3" s="3"/>
      <c r="B3" s="3"/>
      <c r="C3" s="4" t="s">
        <v>8</v>
      </c>
      <c r="D3" s="4" t="s">
        <v>9</v>
      </c>
      <c r="E3" s="4" t="s">
        <v>5</v>
      </c>
      <c r="F3" s="4" t="s">
        <v>6</v>
      </c>
      <c r="G3" s="4" t="s">
        <v>14</v>
      </c>
      <c r="H3" s="4" t="s">
        <v>15</v>
      </c>
      <c r="I3" s="4" t="s">
        <v>17</v>
      </c>
      <c r="J3" s="4" t="s">
        <v>12</v>
      </c>
    </row>
    <row r="4" spans="1:10" x14ac:dyDescent="0.2">
      <c r="A4" s="3" t="s">
        <v>19</v>
      </c>
      <c r="B4" s="3" t="s">
        <v>9</v>
      </c>
      <c r="C4" s="5">
        <v>88.5</v>
      </c>
      <c r="D4" s="6"/>
      <c r="E4" s="6"/>
      <c r="F4" s="6"/>
      <c r="G4" s="6"/>
      <c r="H4" s="6"/>
      <c r="I4" s="3"/>
      <c r="J4" s="3"/>
    </row>
    <row r="5" spans="1:10" x14ac:dyDescent="0.2">
      <c r="A5" s="3" t="s">
        <v>20</v>
      </c>
      <c r="B5" s="3" t="s">
        <v>5</v>
      </c>
      <c r="C5" s="5">
        <v>88.5</v>
      </c>
      <c r="D5" s="7">
        <v>90.3</v>
      </c>
      <c r="E5" s="6"/>
      <c r="F5" s="6"/>
      <c r="G5" s="6"/>
      <c r="H5" s="6"/>
      <c r="I5" s="3"/>
      <c r="J5" s="3"/>
    </row>
    <row r="6" spans="1:10" x14ac:dyDescent="0.2">
      <c r="A6" s="3" t="s">
        <v>20</v>
      </c>
      <c r="B6" s="3" t="s">
        <v>6</v>
      </c>
      <c r="C6" s="8">
        <v>91.5</v>
      </c>
      <c r="D6" s="9">
        <v>96.7</v>
      </c>
      <c r="E6" s="10">
        <v>86.7</v>
      </c>
      <c r="F6" s="6"/>
      <c r="G6" s="6"/>
      <c r="H6" s="6"/>
      <c r="I6" s="3"/>
      <c r="J6" s="3"/>
    </row>
    <row r="7" spans="1:10" x14ac:dyDescent="0.2">
      <c r="A7" s="3" t="s">
        <v>20</v>
      </c>
      <c r="B7" s="3" t="s">
        <v>14</v>
      </c>
      <c r="C7" s="11">
        <v>93.2</v>
      </c>
      <c r="D7" s="12">
        <v>95</v>
      </c>
      <c r="E7" s="5">
        <v>88.3</v>
      </c>
      <c r="F7" s="13">
        <v>81</v>
      </c>
      <c r="G7" s="6"/>
      <c r="H7" s="6"/>
      <c r="I7" s="3"/>
      <c r="J7" s="3"/>
    </row>
    <row r="8" spans="1:10" x14ac:dyDescent="0.2">
      <c r="A8" s="3" t="s">
        <v>21</v>
      </c>
      <c r="B8" s="3" t="s">
        <v>15</v>
      </c>
      <c r="C8" s="14">
        <v>93.1</v>
      </c>
      <c r="D8" s="12">
        <v>94.9</v>
      </c>
      <c r="E8" s="15">
        <v>86.4</v>
      </c>
      <c r="F8" s="16">
        <v>84.2</v>
      </c>
      <c r="G8" s="17">
        <v>82.5</v>
      </c>
      <c r="H8" s="6"/>
      <c r="I8" s="3"/>
      <c r="J8" s="3"/>
    </row>
    <row r="9" spans="1:10" x14ac:dyDescent="0.2">
      <c r="A9" s="3" t="s">
        <v>20</v>
      </c>
      <c r="B9" s="3" t="s">
        <v>17</v>
      </c>
      <c r="C9" s="18">
        <v>88.9</v>
      </c>
      <c r="D9" s="19">
        <v>96.4</v>
      </c>
      <c r="E9" s="20">
        <v>80</v>
      </c>
      <c r="F9" s="21">
        <v>84.9</v>
      </c>
      <c r="G9" s="21">
        <v>84.9</v>
      </c>
      <c r="H9" s="22">
        <v>67.3</v>
      </c>
      <c r="I9" s="3"/>
      <c r="J9" s="3"/>
    </row>
    <row r="10" spans="1:10" x14ac:dyDescent="0.2">
      <c r="A10" s="3" t="s">
        <v>22</v>
      </c>
      <c r="B10" s="3" t="s">
        <v>12</v>
      </c>
      <c r="C10" s="23">
        <v>98.1</v>
      </c>
      <c r="D10" s="24">
        <v>100</v>
      </c>
      <c r="E10" s="24">
        <v>100</v>
      </c>
      <c r="F10" s="23">
        <v>98.1</v>
      </c>
      <c r="G10" s="24">
        <v>100</v>
      </c>
      <c r="H10" s="24">
        <v>100</v>
      </c>
      <c r="I10" s="24">
        <v>100</v>
      </c>
      <c r="J10" s="3"/>
    </row>
    <row r="11" spans="1:10" x14ac:dyDescent="0.2">
      <c r="A11" s="3" t="s">
        <v>22</v>
      </c>
      <c r="B11" s="3" t="s">
        <v>13</v>
      </c>
      <c r="C11" s="23">
        <v>98.2</v>
      </c>
      <c r="D11" s="24">
        <v>100</v>
      </c>
      <c r="E11" s="24">
        <v>100</v>
      </c>
      <c r="F11" s="24">
        <v>100</v>
      </c>
      <c r="G11" s="24">
        <v>100</v>
      </c>
      <c r="H11" s="24">
        <v>100</v>
      </c>
      <c r="I11" s="24">
        <v>100</v>
      </c>
      <c r="J11" s="25">
        <v>73.5</v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49E09-0E23-F846-B8AC-5561D5E0AA8C}">
  <dimension ref="A1:O16"/>
  <sheetViews>
    <sheetView workbookViewId="0">
      <selection activeCell="I16" sqref="I16"/>
    </sheetView>
  </sheetViews>
  <sheetFormatPr baseColWidth="10" defaultRowHeight="16" x14ac:dyDescent="0.2"/>
  <sheetData>
    <row r="1" spans="1:15" x14ac:dyDescent="0.2">
      <c r="A1" s="73" t="s">
        <v>153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</row>
    <row r="2" spans="1:15" x14ac:dyDescent="0.2">
      <c r="B2" s="27" t="s">
        <v>0</v>
      </c>
      <c r="C2" s="27" t="s">
        <v>1</v>
      </c>
      <c r="D2" s="27" t="s">
        <v>2</v>
      </c>
      <c r="E2" s="27" t="s">
        <v>3</v>
      </c>
      <c r="F2" s="27" t="s">
        <v>4</v>
      </c>
      <c r="G2" s="27" t="s">
        <v>5</v>
      </c>
      <c r="H2" s="27" t="s">
        <v>6</v>
      </c>
      <c r="I2" s="27" t="s">
        <v>7</v>
      </c>
      <c r="J2" s="27" t="s">
        <v>10</v>
      </c>
      <c r="K2" s="27" t="s">
        <v>11</v>
      </c>
      <c r="L2" s="27" t="s">
        <v>14</v>
      </c>
      <c r="M2" s="27" t="s">
        <v>15</v>
      </c>
      <c r="N2" s="27" t="s">
        <v>16</v>
      </c>
      <c r="O2" s="27" t="s">
        <v>17</v>
      </c>
    </row>
    <row r="3" spans="1:15" x14ac:dyDescent="0.2">
      <c r="A3" s="27" t="s">
        <v>0</v>
      </c>
      <c r="B3" s="55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5" x14ac:dyDescent="0.2">
      <c r="A4" s="27" t="s">
        <v>1</v>
      </c>
      <c r="B4" s="26">
        <v>2</v>
      </c>
      <c r="C4" s="55">
        <v>0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x14ac:dyDescent="0.2">
      <c r="A5" s="27" t="s">
        <v>2</v>
      </c>
      <c r="B5" s="26">
        <v>3</v>
      </c>
      <c r="C5" s="26">
        <v>1</v>
      </c>
      <c r="D5" s="55">
        <v>0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5" x14ac:dyDescent="0.2">
      <c r="A6" s="27" t="s">
        <v>3</v>
      </c>
      <c r="B6" s="26">
        <v>10</v>
      </c>
      <c r="C6" s="26">
        <v>7</v>
      </c>
      <c r="D6" s="26">
        <v>8</v>
      </c>
      <c r="E6" s="55">
        <v>0</v>
      </c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x14ac:dyDescent="0.2">
      <c r="A7" s="27" t="s">
        <v>4</v>
      </c>
      <c r="B7" s="26">
        <v>10</v>
      </c>
      <c r="C7" s="26">
        <v>7</v>
      </c>
      <c r="D7" s="26">
        <v>8</v>
      </c>
      <c r="E7" s="26">
        <v>0</v>
      </c>
      <c r="F7" s="55">
        <v>0</v>
      </c>
      <c r="G7" s="26"/>
      <c r="H7" s="26"/>
      <c r="I7" s="26"/>
      <c r="J7" s="26"/>
      <c r="K7" s="26"/>
      <c r="L7" s="26"/>
      <c r="M7" s="26"/>
      <c r="N7" s="26"/>
      <c r="O7" s="26"/>
    </row>
    <row r="8" spans="1:15" x14ac:dyDescent="0.2">
      <c r="A8" s="27" t="s">
        <v>5</v>
      </c>
      <c r="B8" s="26">
        <v>9</v>
      </c>
      <c r="C8" s="26">
        <v>6</v>
      </c>
      <c r="D8" s="26">
        <v>7</v>
      </c>
      <c r="E8" s="26">
        <v>1</v>
      </c>
      <c r="F8" s="26">
        <v>1</v>
      </c>
      <c r="G8" s="55">
        <v>0</v>
      </c>
      <c r="H8" s="26"/>
      <c r="I8" s="26"/>
      <c r="J8" s="26"/>
      <c r="K8" s="26"/>
      <c r="L8" s="26"/>
      <c r="M8" s="26"/>
      <c r="N8" s="26"/>
      <c r="O8" s="26"/>
    </row>
    <row r="9" spans="1:15" x14ac:dyDescent="0.2">
      <c r="A9" s="27" t="s">
        <v>6</v>
      </c>
      <c r="B9" s="26">
        <v>5</v>
      </c>
      <c r="C9" s="26">
        <v>3</v>
      </c>
      <c r="D9" s="26">
        <v>4</v>
      </c>
      <c r="E9" s="26">
        <v>6</v>
      </c>
      <c r="F9" s="26">
        <v>6</v>
      </c>
      <c r="G9" s="26">
        <v>5</v>
      </c>
      <c r="H9" s="55">
        <v>0</v>
      </c>
      <c r="I9" s="26"/>
      <c r="J9" s="26"/>
      <c r="K9" s="26"/>
      <c r="L9" s="26"/>
      <c r="M9" s="26"/>
      <c r="N9" s="26"/>
      <c r="O9" s="26"/>
    </row>
    <row r="10" spans="1:15" x14ac:dyDescent="0.2">
      <c r="A10" s="27" t="s">
        <v>7</v>
      </c>
      <c r="B10" s="26">
        <v>2</v>
      </c>
      <c r="C10" s="26">
        <v>0</v>
      </c>
      <c r="D10" s="26">
        <v>1</v>
      </c>
      <c r="E10" s="26">
        <v>7</v>
      </c>
      <c r="F10" s="26">
        <v>7</v>
      </c>
      <c r="G10" s="26">
        <v>6</v>
      </c>
      <c r="H10" s="26">
        <v>3</v>
      </c>
      <c r="I10" s="55">
        <v>0</v>
      </c>
      <c r="J10" s="26"/>
      <c r="K10" s="26"/>
      <c r="L10" s="26"/>
      <c r="M10" s="26"/>
      <c r="N10" s="26"/>
      <c r="O10" s="26"/>
    </row>
    <row r="11" spans="1:15" x14ac:dyDescent="0.2">
      <c r="A11" s="27" t="s">
        <v>10</v>
      </c>
      <c r="B11" s="26">
        <v>8</v>
      </c>
      <c r="C11" s="26">
        <v>6</v>
      </c>
      <c r="D11" s="26">
        <v>8</v>
      </c>
      <c r="E11" s="26">
        <v>3</v>
      </c>
      <c r="F11" s="26">
        <v>3</v>
      </c>
      <c r="G11" s="26">
        <v>2</v>
      </c>
      <c r="H11" s="26">
        <v>5</v>
      </c>
      <c r="I11" s="26">
        <v>6</v>
      </c>
      <c r="J11" s="55">
        <v>0</v>
      </c>
      <c r="K11" s="26"/>
      <c r="L11" s="26"/>
      <c r="M11" s="26"/>
      <c r="N11" s="26"/>
      <c r="O11" s="26"/>
    </row>
    <row r="12" spans="1:15" x14ac:dyDescent="0.2">
      <c r="A12" s="27" t="s">
        <v>11</v>
      </c>
      <c r="B12" s="26">
        <v>8</v>
      </c>
      <c r="C12" s="26">
        <v>6</v>
      </c>
      <c r="D12" s="26">
        <v>8</v>
      </c>
      <c r="E12" s="26">
        <v>3</v>
      </c>
      <c r="F12" s="26">
        <v>3</v>
      </c>
      <c r="G12" s="26">
        <v>2</v>
      </c>
      <c r="H12" s="26">
        <v>5</v>
      </c>
      <c r="I12" s="26">
        <v>6</v>
      </c>
      <c r="J12" s="26">
        <v>0</v>
      </c>
      <c r="K12" s="55">
        <v>0</v>
      </c>
      <c r="L12" s="26"/>
      <c r="M12" s="26"/>
      <c r="N12" s="26"/>
      <c r="O12" s="26"/>
    </row>
    <row r="13" spans="1:15" x14ac:dyDescent="0.2">
      <c r="A13" s="27" t="s">
        <v>14</v>
      </c>
      <c r="B13" s="26">
        <v>7</v>
      </c>
      <c r="C13" s="26">
        <v>5</v>
      </c>
      <c r="D13" s="26">
        <v>7</v>
      </c>
      <c r="E13" s="26">
        <v>2</v>
      </c>
      <c r="F13" s="26">
        <v>2</v>
      </c>
      <c r="G13" s="26">
        <v>1</v>
      </c>
      <c r="H13" s="26">
        <v>4</v>
      </c>
      <c r="I13" s="26">
        <v>5</v>
      </c>
      <c r="J13" s="26">
        <v>1</v>
      </c>
      <c r="K13" s="26">
        <v>1</v>
      </c>
      <c r="L13" s="55">
        <v>0</v>
      </c>
      <c r="M13" s="26"/>
      <c r="N13" s="26"/>
      <c r="O13" s="26"/>
    </row>
    <row r="14" spans="1:15" x14ac:dyDescent="0.2">
      <c r="A14" s="27" t="s">
        <v>15</v>
      </c>
      <c r="B14" s="26">
        <v>4</v>
      </c>
      <c r="C14" s="26">
        <v>2</v>
      </c>
      <c r="D14" s="26">
        <v>1</v>
      </c>
      <c r="E14" s="26">
        <v>9</v>
      </c>
      <c r="F14" s="26">
        <v>9</v>
      </c>
      <c r="G14" s="26">
        <v>8</v>
      </c>
      <c r="H14" s="26">
        <v>5</v>
      </c>
      <c r="I14" s="26">
        <v>2</v>
      </c>
      <c r="J14" s="26">
        <v>8</v>
      </c>
      <c r="K14" s="26">
        <v>8</v>
      </c>
      <c r="L14" s="26">
        <v>8</v>
      </c>
      <c r="M14" s="55">
        <v>0</v>
      </c>
      <c r="N14" s="26"/>
      <c r="O14" s="26"/>
    </row>
    <row r="15" spans="1:15" x14ac:dyDescent="0.2">
      <c r="A15" s="27" t="s">
        <v>16</v>
      </c>
      <c r="B15" s="26">
        <v>3</v>
      </c>
      <c r="C15" s="26">
        <v>1</v>
      </c>
      <c r="D15" s="26">
        <v>0</v>
      </c>
      <c r="E15" s="26">
        <v>8</v>
      </c>
      <c r="F15" s="26">
        <v>8</v>
      </c>
      <c r="G15" s="26">
        <v>7</v>
      </c>
      <c r="H15" s="26">
        <v>4</v>
      </c>
      <c r="I15" s="26">
        <v>1</v>
      </c>
      <c r="J15" s="26">
        <v>7</v>
      </c>
      <c r="K15" s="26">
        <v>7</v>
      </c>
      <c r="L15" s="26">
        <v>7</v>
      </c>
      <c r="M15" s="26">
        <v>1</v>
      </c>
      <c r="N15" s="55">
        <v>0</v>
      </c>
      <c r="O15" s="26"/>
    </row>
    <row r="16" spans="1:15" x14ac:dyDescent="0.2">
      <c r="A16" s="27" t="s">
        <v>17</v>
      </c>
      <c r="B16" s="26">
        <v>2</v>
      </c>
      <c r="C16" s="26">
        <v>0</v>
      </c>
      <c r="D16" s="26">
        <v>1</v>
      </c>
      <c r="E16" s="26">
        <v>7</v>
      </c>
      <c r="F16" s="26">
        <v>7</v>
      </c>
      <c r="G16" s="26">
        <v>6</v>
      </c>
      <c r="H16" s="26">
        <v>3</v>
      </c>
      <c r="I16" s="26">
        <v>0</v>
      </c>
      <c r="J16" s="26">
        <v>6</v>
      </c>
      <c r="K16" s="26">
        <v>6</v>
      </c>
      <c r="L16" s="26">
        <v>5</v>
      </c>
      <c r="M16" s="26">
        <v>2</v>
      </c>
      <c r="N16" s="26">
        <v>1</v>
      </c>
      <c r="O16" s="55">
        <v>0</v>
      </c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B88-144E-EA46-88B2-BB996747DED2}">
  <dimension ref="A1:O16"/>
  <sheetViews>
    <sheetView workbookViewId="0">
      <selection activeCell="A17" sqref="A17"/>
    </sheetView>
  </sheetViews>
  <sheetFormatPr baseColWidth="10" defaultRowHeight="16" x14ac:dyDescent="0.2"/>
  <sheetData>
    <row r="1" spans="1:15" x14ac:dyDescent="0.2">
      <c r="A1" s="74" t="s">
        <v>154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</row>
    <row r="2" spans="1:15" x14ac:dyDescent="0.2">
      <c r="A2" s="41"/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10</v>
      </c>
      <c r="K2" s="41" t="s">
        <v>11</v>
      </c>
      <c r="L2" s="41" t="s">
        <v>14</v>
      </c>
      <c r="M2" s="41" t="s">
        <v>15</v>
      </c>
      <c r="N2" s="41" t="s">
        <v>16</v>
      </c>
      <c r="O2" s="41" t="s">
        <v>17</v>
      </c>
    </row>
    <row r="3" spans="1:15" x14ac:dyDescent="0.2">
      <c r="A3" s="41" t="s">
        <v>61</v>
      </c>
      <c r="B3" s="56">
        <v>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</row>
    <row r="4" spans="1:15" x14ac:dyDescent="0.2">
      <c r="A4" s="41" t="s">
        <v>1</v>
      </c>
      <c r="B4" s="41">
        <v>13.99</v>
      </c>
      <c r="C4" s="56">
        <v>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15" x14ac:dyDescent="0.2">
      <c r="A5" s="41" t="s">
        <v>2</v>
      </c>
      <c r="B5" s="41">
        <v>9.6</v>
      </c>
      <c r="C5" s="41">
        <v>10.89</v>
      </c>
      <c r="D5" s="56">
        <v>0</v>
      </c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</row>
    <row r="6" spans="1:15" x14ac:dyDescent="0.2">
      <c r="A6" s="41" t="s">
        <v>3</v>
      </c>
      <c r="B6" s="41">
        <v>55.27</v>
      </c>
      <c r="C6" s="41">
        <v>41.92</v>
      </c>
      <c r="D6" s="41">
        <v>52.17</v>
      </c>
      <c r="E6" s="56">
        <v>0</v>
      </c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x14ac:dyDescent="0.2">
      <c r="A7" s="41" t="s">
        <v>4</v>
      </c>
      <c r="B7" s="41">
        <v>57.3</v>
      </c>
      <c r="C7" s="41">
        <v>43.95</v>
      </c>
      <c r="D7" s="41">
        <v>54.2</v>
      </c>
      <c r="E7" s="41">
        <v>2.0299999999999998</v>
      </c>
      <c r="F7" s="56">
        <v>0</v>
      </c>
      <c r="G7" s="41"/>
      <c r="H7" s="41"/>
      <c r="I7" s="41"/>
      <c r="J7" s="41"/>
      <c r="K7" s="41"/>
      <c r="L7" s="41"/>
      <c r="M7" s="41"/>
      <c r="N7" s="41"/>
      <c r="O7" s="41"/>
    </row>
    <row r="8" spans="1:15" x14ac:dyDescent="0.2">
      <c r="A8" s="41" t="s">
        <v>5</v>
      </c>
      <c r="B8" s="41">
        <v>54.02</v>
      </c>
      <c r="C8" s="41">
        <v>40.67</v>
      </c>
      <c r="D8" s="41">
        <v>50.92</v>
      </c>
      <c r="E8" s="41">
        <v>1.25</v>
      </c>
      <c r="F8" s="41">
        <v>3.28</v>
      </c>
      <c r="G8" s="56">
        <v>0</v>
      </c>
      <c r="H8" s="41"/>
      <c r="I8" s="41"/>
      <c r="J8" s="41"/>
      <c r="K8" s="41"/>
      <c r="L8" s="41"/>
      <c r="M8" s="41"/>
      <c r="N8" s="41"/>
      <c r="O8" s="41"/>
    </row>
    <row r="9" spans="1:15" x14ac:dyDescent="0.2">
      <c r="A9" s="41" t="s">
        <v>6</v>
      </c>
      <c r="B9" s="41">
        <v>24.02</v>
      </c>
      <c r="C9" s="41">
        <v>10.67</v>
      </c>
      <c r="D9" s="41">
        <v>20.92</v>
      </c>
      <c r="E9" s="41">
        <v>38.409999999999997</v>
      </c>
      <c r="F9" s="41">
        <v>40.44</v>
      </c>
      <c r="G9" s="41">
        <v>37.159999999999997</v>
      </c>
      <c r="H9" s="56">
        <v>0</v>
      </c>
      <c r="I9" s="41"/>
      <c r="J9" s="41"/>
      <c r="K9" s="41"/>
      <c r="L9" s="41"/>
      <c r="M9" s="41"/>
      <c r="N9" s="41"/>
      <c r="O9" s="41"/>
    </row>
    <row r="10" spans="1:15" x14ac:dyDescent="0.2">
      <c r="A10" s="41" t="s">
        <v>7</v>
      </c>
      <c r="B10" s="41">
        <v>9.36</v>
      </c>
      <c r="C10" s="41">
        <v>8.4499999999999993</v>
      </c>
      <c r="D10" s="41">
        <v>6.26</v>
      </c>
      <c r="E10" s="41">
        <v>49.73</v>
      </c>
      <c r="F10" s="41">
        <v>51.76</v>
      </c>
      <c r="G10" s="41">
        <v>48.48</v>
      </c>
      <c r="H10" s="41">
        <v>18.48</v>
      </c>
      <c r="I10" s="56">
        <v>0</v>
      </c>
      <c r="J10" s="41"/>
      <c r="K10" s="41"/>
      <c r="L10" s="41"/>
      <c r="M10" s="41"/>
      <c r="N10" s="41"/>
      <c r="O10" s="41"/>
    </row>
    <row r="11" spans="1:15" x14ac:dyDescent="0.2">
      <c r="A11" s="41" t="s">
        <v>10</v>
      </c>
      <c r="B11" s="41">
        <v>38.93</v>
      </c>
      <c r="C11" s="41">
        <v>25.58</v>
      </c>
      <c r="D11" s="41">
        <v>35.83</v>
      </c>
      <c r="E11" s="41">
        <v>22.22</v>
      </c>
      <c r="F11" s="41">
        <v>24.25</v>
      </c>
      <c r="G11" s="41">
        <v>20.97</v>
      </c>
      <c r="H11" s="41">
        <v>22.07</v>
      </c>
      <c r="I11" s="41">
        <v>33.39</v>
      </c>
      <c r="J11" s="56">
        <v>0</v>
      </c>
      <c r="K11" s="41"/>
      <c r="L11" s="41"/>
      <c r="M11" s="41"/>
      <c r="N11" s="41"/>
      <c r="O11" s="41"/>
    </row>
    <row r="12" spans="1:15" x14ac:dyDescent="0.2">
      <c r="A12" s="41" t="s">
        <v>11</v>
      </c>
      <c r="B12" s="41">
        <v>40.69</v>
      </c>
      <c r="C12" s="41">
        <v>27.34</v>
      </c>
      <c r="D12" s="41">
        <v>37.590000000000003</v>
      </c>
      <c r="E12" s="41">
        <v>23.98</v>
      </c>
      <c r="F12" s="41">
        <v>26.01</v>
      </c>
      <c r="G12" s="41">
        <v>22.73</v>
      </c>
      <c r="H12" s="41">
        <v>23.83</v>
      </c>
      <c r="I12" s="41">
        <v>35.15</v>
      </c>
      <c r="J12" s="41">
        <v>1.76</v>
      </c>
      <c r="K12" s="56">
        <v>0</v>
      </c>
      <c r="L12" s="41"/>
      <c r="M12" s="41"/>
      <c r="N12" s="41"/>
      <c r="O12" s="41"/>
    </row>
    <row r="13" spans="1:15" x14ac:dyDescent="0.2">
      <c r="A13" s="41" t="s">
        <v>14</v>
      </c>
      <c r="B13" s="41">
        <v>31.15</v>
      </c>
      <c r="C13" s="41">
        <v>17.8</v>
      </c>
      <c r="D13" s="41">
        <v>28.05</v>
      </c>
      <c r="E13" s="41">
        <v>24.12</v>
      </c>
      <c r="F13" s="41">
        <v>26.15</v>
      </c>
      <c r="G13" s="41">
        <v>22.87</v>
      </c>
      <c r="H13" s="41">
        <v>14.29</v>
      </c>
      <c r="I13" s="41">
        <v>25.61</v>
      </c>
      <c r="J13" s="41">
        <v>7.78</v>
      </c>
      <c r="K13" s="41">
        <v>9.5399999999999991</v>
      </c>
      <c r="L13" s="56">
        <v>0</v>
      </c>
      <c r="M13" s="41"/>
      <c r="N13" s="41"/>
      <c r="O13" s="41"/>
    </row>
    <row r="14" spans="1:15" x14ac:dyDescent="0.2">
      <c r="A14" s="41" t="s">
        <v>15</v>
      </c>
      <c r="B14" s="41">
        <v>8.7799999999999994</v>
      </c>
      <c r="C14" s="41">
        <v>10.07</v>
      </c>
      <c r="D14" s="41">
        <v>1.4</v>
      </c>
      <c r="E14" s="41">
        <v>51.35</v>
      </c>
      <c r="F14" s="41">
        <v>53.38</v>
      </c>
      <c r="G14" s="41">
        <v>50.1</v>
      </c>
      <c r="H14" s="41">
        <v>20.100000000000001</v>
      </c>
      <c r="I14" s="41">
        <v>5.44</v>
      </c>
      <c r="J14" s="41">
        <v>35.01</v>
      </c>
      <c r="K14" s="41">
        <v>36.770000000000003</v>
      </c>
      <c r="L14" s="41">
        <v>27.23</v>
      </c>
      <c r="M14" s="56">
        <v>0</v>
      </c>
      <c r="N14" s="41"/>
      <c r="O14" s="41"/>
    </row>
    <row r="15" spans="1:15" x14ac:dyDescent="0.2">
      <c r="A15" s="41" t="s">
        <v>16</v>
      </c>
      <c r="B15" s="41">
        <v>9.07</v>
      </c>
      <c r="C15" s="41">
        <v>10.36</v>
      </c>
      <c r="D15" s="41">
        <v>1.69</v>
      </c>
      <c r="E15" s="41">
        <v>51.64</v>
      </c>
      <c r="F15" s="41">
        <v>53.67</v>
      </c>
      <c r="G15" s="41">
        <v>50.39</v>
      </c>
      <c r="H15" s="41">
        <v>20.39</v>
      </c>
      <c r="I15" s="41">
        <v>5.73</v>
      </c>
      <c r="J15" s="41">
        <v>35.299999999999997</v>
      </c>
      <c r="K15" s="41">
        <v>37.06</v>
      </c>
      <c r="L15" s="41">
        <v>27.52</v>
      </c>
      <c r="M15" s="41">
        <v>0.28999999999999998</v>
      </c>
      <c r="N15" s="56">
        <v>0</v>
      </c>
      <c r="O15" s="41"/>
    </row>
    <row r="16" spans="1:15" x14ac:dyDescent="0.2">
      <c r="A16" s="41" t="s">
        <v>17</v>
      </c>
      <c r="B16" s="41">
        <v>9.33</v>
      </c>
      <c r="C16" s="41">
        <v>4.66</v>
      </c>
      <c r="D16" s="41">
        <v>6.23</v>
      </c>
      <c r="E16" s="41">
        <v>45.94</v>
      </c>
      <c r="F16" s="41">
        <v>47.97</v>
      </c>
      <c r="G16" s="41">
        <v>44.69</v>
      </c>
      <c r="H16" s="41">
        <v>14.69</v>
      </c>
      <c r="I16" s="41">
        <v>3.79</v>
      </c>
      <c r="J16" s="41">
        <v>29.6</v>
      </c>
      <c r="K16" s="41">
        <v>31.36</v>
      </c>
      <c r="L16" s="41">
        <v>21.82</v>
      </c>
      <c r="M16" s="41">
        <v>5.41</v>
      </c>
      <c r="N16" s="41">
        <v>5.7</v>
      </c>
      <c r="O16" s="56">
        <v>0</v>
      </c>
    </row>
  </sheetData>
  <mergeCells count="1">
    <mergeCell ref="A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404B-1F82-BE43-B286-ADDB8B405CF0}">
  <dimension ref="A2:H25"/>
  <sheetViews>
    <sheetView zoomScale="117" zoomScaleNormal="71" workbookViewId="0">
      <selection activeCell="G41" sqref="G41"/>
    </sheetView>
  </sheetViews>
  <sheetFormatPr baseColWidth="10" defaultRowHeight="16" x14ac:dyDescent="0.2"/>
  <cols>
    <col min="1" max="1" width="51.1640625" bestFit="1" customWidth="1"/>
    <col min="2" max="2" width="13.5" bestFit="1" customWidth="1"/>
    <col min="4" max="4" width="13" customWidth="1"/>
    <col min="5" max="5" width="9.83203125" bestFit="1" customWidth="1"/>
    <col min="7" max="7" width="13" customWidth="1"/>
    <col min="8" max="8" width="12.6640625" customWidth="1"/>
  </cols>
  <sheetData>
    <row r="2" spans="1:8" x14ac:dyDescent="0.2">
      <c r="A2" s="72" t="s">
        <v>116</v>
      </c>
      <c r="B2" s="72"/>
      <c r="C2" s="72"/>
      <c r="D2" s="72"/>
      <c r="E2" s="72"/>
      <c r="F2" s="72"/>
      <c r="G2" s="72"/>
      <c r="H2" s="72"/>
    </row>
    <row r="3" spans="1:8" x14ac:dyDescent="0.2">
      <c r="A3" s="42" t="s">
        <v>117</v>
      </c>
      <c r="B3" s="42" t="s">
        <v>118</v>
      </c>
      <c r="C3" s="42" t="s">
        <v>119</v>
      </c>
      <c r="D3" s="42" t="s">
        <v>120</v>
      </c>
      <c r="E3" s="42" t="s">
        <v>121</v>
      </c>
      <c r="F3" s="42" t="s">
        <v>122</v>
      </c>
      <c r="G3" s="42" t="s">
        <v>123</v>
      </c>
      <c r="H3" s="42" t="s">
        <v>127</v>
      </c>
    </row>
    <row r="4" spans="1:8" x14ac:dyDescent="0.2">
      <c r="A4" s="42" t="s">
        <v>110</v>
      </c>
      <c r="B4" s="77"/>
      <c r="C4" s="78"/>
      <c r="D4" s="78"/>
      <c r="E4" s="78"/>
      <c r="F4" s="78"/>
      <c r="G4" s="78"/>
      <c r="H4" s="79"/>
    </row>
    <row r="5" spans="1:8" x14ac:dyDescent="0.2">
      <c r="A5" s="30" t="s">
        <v>125</v>
      </c>
      <c r="B5" s="1">
        <v>3.9955999999999998E-2</v>
      </c>
      <c r="C5" s="1">
        <v>5.7200000000000003E-3</v>
      </c>
      <c r="D5" s="1">
        <v>6.9870000000000001</v>
      </c>
      <c r="E5" s="48">
        <v>4.9600000000000004E-10</v>
      </c>
      <c r="F5" s="1" t="s">
        <v>126</v>
      </c>
      <c r="G5" s="66" t="s">
        <v>124</v>
      </c>
      <c r="H5" s="66">
        <v>0.22189999999999999</v>
      </c>
    </row>
    <row r="6" spans="1:8" x14ac:dyDescent="0.2">
      <c r="A6" s="30" t="s">
        <v>113</v>
      </c>
      <c r="B6" s="1">
        <v>5.483E-3</v>
      </c>
      <c r="C6" s="1">
        <v>1.062E-3</v>
      </c>
      <c r="D6" s="1">
        <v>5.1639999999999997</v>
      </c>
      <c r="E6" s="48">
        <v>1.46E-6</v>
      </c>
      <c r="F6" s="1" t="s">
        <v>126</v>
      </c>
      <c r="G6" s="66"/>
      <c r="H6" s="66"/>
    </row>
    <row r="7" spans="1:8" x14ac:dyDescent="0.2">
      <c r="A7" s="42" t="s">
        <v>111</v>
      </c>
      <c r="B7" s="77"/>
      <c r="C7" s="78"/>
      <c r="D7" s="78"/>
      <c r="E7" s="78"/>
      <c r="F7" s="78"/>
      <c r="G7" s="78"/>
      <c r="H7" s="79"/>
    </row>
    <row r="8" spans="1:8" x14ac:dyDescent="0.2">
      <c r="A8" s="30" t="s">
        <v>125</v>
      </c>
      <c r="B8" s="1">
        <v>4.4407099999999998E-2</v>
      </c>
      <c r="C8" s="1">
        <v>5.8693E-3</v>
      </c>
      <c r="D8" s="1">
        <v>7.5659999999999998</v>
      </c>
      <c r="E8" s="48">
        <v>3.3400000000000002E-11</v>
      </c>
      <c r="F8" s="1" t="s">
        <v>126</v>
      </c>
      <c r="G8" s="66" t="s">
        <v>128</v>
      </c>
      <c r="H8" s="66">
        <v>0.15379999999999999</v>
      </c>
    </row>
    <row r="9" spans="1:8" x14ac:dyDescent="0.2">
      <c r="A9" s="30" t="s">
        <v>130</v>
      </c>
      <c r="B9" s="1">
        <v>7.8200000000000003E-4</v>
      </c>
      <c r="C9" s="1">
        <v>1.8770000000000001E-4</v>
      </c>
      <c r="D9" s="1">
        <v>4.1660000000000004</v>
      </c>
      <c r="E9" s="48">
        <v>7.1500000000000003E-5</v>
      </c>
      <c r="F9" s="1" t="s">
        <v>126</v>
      </c>
      <c r="G9" s="66"/>
      <c r="H9" s="66"/>
    </row>
    <row r="10" spans="1:8" x14ac:dyDescent="0.2">
      <c r="A10" s="42" t="s">
        <v>112</v>
      </c>
      <c r="B10" s="77"/>
      <c r="C10" s="78"/>
      <c r="D10" s="78"/>
      <c r="E10" s="78"/>
      <c r="F10" s="78"/>
      <c r="G10" s="78"/>
      <c r="H10" s="79"/>
    </row>
    <row r="11" spans="1:8" x14ac:dyDescent="0.2">
      <c r="A11" s="30" t="s">
        <v>125</v>
      </c>
      <c r="B11" s="1">
        <v>4.0582100000000003E-2</v>
      </c>
      <c r="C11" s="1">
        <v>5.7962999999999999E-3</v>
      </c>
      <c r="D11" s="1">
        <v>7.0010000000000003</v>
      </c>
      <c r="E11" s="48">
        <v>4.8099999999999999E-10</v>
      </c>
      <c r="F11" s="1" t="s">
        <v>126</v>
      </c>
      <c r="G11" s="66" t="s">
        <v>131</v>
      </c>
      <c r="H11" s="66">
        <v>0.218</v>
      </c>
    </row>
    <row r="12" spans="1:8" x14ac:dyDescent="0.2">
      <c r="A12" s="30" t="s">
        <v>130</v>
      </c>
      <c r="B12" s="1">
        <v>-3.122E-4</v>
      </c>
      <c r="C12" s="1">
        <v>4.2039999999999997E-4</v>
      </c>
      <c r="D12" s="1">
        <v>-0.74299999999999999</v>
      </c>
      <c r="E12" s="1">
        <v>0.45961000000000002</v>
      </c>
      <c r="F12" s="1"/>
      <c r="G12" s="66"/>
      <c r="H12" s="66"/>
    </row>
    <row r="13" spans="1:8" x14ac:dyDescent="0.2">
      <c r="A13" s="30" t="s">
        <v>113</v>
      </c>
      <c r="B13" s="1">
        <v>7.1463999999999998E-3</v>
      </c>
      <c r="C13" s="1">
        <v>2.4799000000000002E-3</v>
      </c>
      <c r="D13" s="1">
        <v>2.8820000000000001</v>
      </c>
      <c r="E13" s="1">
        <v>4.9699999999999996E-3</v>
      </c>
      <c r="F13" s="1" t="s">
        <v>129</v>
      </c>
      <c r="G13" s="66"/>
      <c r="H13" s="66"/>
    </row>
    <row r="14" spans="1:8" x14ac:dyDescent="0.2">
      <c r="A14" s="47"/>
    </row>
    <row r="15" spans="1:8" x14ac:dyDescent="0.2">
      <c r="A15" s="72" t="s">
        <v>138</v>
      </c>
      <c r="B15" s="72"/>
      <c r="C15" s="72"/>
      <c r="D15" s="2"/>
      <c r="E15" s="2"/>
      <c r="F15" s="2"/>
      <c r="G15" s="2"/>
      <c r="H15" s="2"/>
    </row>
    <row r="16" spans="1:8" x14ac:dyDescent="0.2">
      <c r="A16" s="42" t="s">
        <v>117</v>
      </c>
      <c r="B16" s="33" t="s">
        <v>139</v>
      </c>
      <c r="C16" s="33" t="s">
        <v>122</v>
      </c>
      <c r="D16" s="2"/>
      <c r="E16" s="2"/>
      <c r="F16" s="2"/>
      <c r="G16" s="2"/>
      <c r="H16" s="2"/>
    </row>
    <row r="17" spans="1:8" x14ac:dyDescent="0.2">
      <c r="A17" s="42" t="s">
        <v>110</v>
      </c>
      <c r="B17" s="43">
        <v>0.48249999999999998</v>
      </c>
      <c r="C17" s="52">
        <v>1E-4</v>
      </c>
      <c r="D17" s="53"/>
    </row>
    <row r="18" spans="1:8" x14ac:dyDescent="0.2">
      <c r="A18" s="42" t="s">
        <v>111</v>
      </c>
      <c r="B18" s="43">
        <v>0.40400000000000003</v>
      </c>
      <c r="C18" s="52">
        <v>3.5000000000000001E-3</v>
      </c>
    </row>
    <row r="19" spans="1:8" x14ac:dyDescent="0.2">
      <c r="A19" s="42" t="s">
        <v>112</v>
      </c>
      <c r="B19" s="43">
        <v>0.29370000000000002</v>
      </c>
      <c r="C19" s="52">
        <v>4.4999999999999997E-3</v>
      </c>
    </row>
    <row r="21" spans="1:8" x14ac:dyDescent="0.2">
      <c r="A21" s="72" t="s">
        <v>149</v>
      </c>
      <c r="B21" s="72"/>
      <c r="C21" s="72"/>
      <c r="D21" s="72"/>
      <c r="E21" s="72"/>
      <c r="F21" s="72"/>
      <c r="G21" s="72"/>
      <c r="H21" s="72"/>
    </row>
    <row r="22" spans="1:8" x14ac:dyDescent="0.2">
      <c r="A22" s="42" t="s">
        <v>109</v>
      </c>
      <c r="B22" s="42" t="s">
        <v>123</v>
      </c>
      <c r="C22" s="42" t="s">
        <v>132</v>
      </c>
      <c r="D22" s="42" t="s">
        <v>114</v>
      </c>
      <c r="E22" s="42" t="s">
        <v>133</v>
      </c>
      <c r="F22" s="42" t="s">
        <v>115</v>
      </c>
      <c r="G22" s="42" t="s">
        <v>136</v>
      </c>
      <c r="H22" s="42" t="s">
        <v>137</v>
      </c>
    </row>
    <row r="23" spans="1:8" x14ac:dyDescent="0.2">
      <c r="A23" s="1" t="s">
        <v>110</v>
      </c>
      <c r="B23" s="49" t="s">
        <v>124</v>
      </c>
      <c r="C23" s="49">
        <v>0.22189999999999999</v>
      </c>
      <c r="D23" s="50">
        <v>-382.7</v>
      </c>
      <c r="E23" s="51">
        <v>0</v>
      </c>
      <c r="F23" s="43">
        <v>0.68200000000000005</v>
      </c>
      <c r="G23" s="43">
        <v>0.48249999999999998</v>
      </c>
      <c r="H23" s="52">
        <v>1E-4</v>
      </c>
    </row>
    <row r="24" spans="1:8" x14ac:dyDescent="0.2">
      <c r="A24" s="1" t="s">
        <v>112</v>
      </c>
      <c r="B24" s="49" t="s">
        <v>135</v>
      </c>
      <c r="C24" s="49">
        <v>0.218</v>
      </c>
      <c r="D24" s="50">
        <v>-381</v>
      </c>
      <c r="E24" s="51">
        <v>1.62</v>
      </c>
      <c r="F24" s="43">
        <v>0.30299999999999999</v>
      </c>
      <c r="G24" s="43">
        <v>0.29370000000000002</v>
      </c>
      <c r="H24" s="52">
        <v>4.4999999999999997E-3</v>
      </c>
    </row>
    <row r="25" spans="1:8" x14ac:dyDescent="0.2">
      <c r="A25" s="1" t="s">
        <v>111</v>
      </c>
      <c r="B25" s="49" t="s">
        <v>134</v>
      </c>
      <c r="C25" s="49">
        <v>0.15379999999999999</v>
      </c>
      <c r="D25" s="50">
        <v>-375</v>
      </c>
      <c r="E25" s="51">
        <v>7.64</v>
      </c>
      <c r="F25" s="43">
        <v>1.4999999999999999E-2</v>
      </c>
      <c r="G25" s="43">
        <v>0.40400000000000003</v>
      </c>
      <c r="H25" s="52">
        <v>3.5000000000000001E-3</v>
      </c>
    </row>
  </sheetData>
  <sortState xmlns:xlrd2="http://schemas.microsoft.com/office/spreadsheetml/2017/richdata2" ref="A23:H25">
    <sortCondition ref="D23:D25"/>
  </sortState>
  <mergeCells count="12">
    <mergeCell ref="A21:H21"/>
    <mergeCell ref="A15:C15"/>
    <mergeCell ref="A2:H2"/>
    <mergeCell ref="B10:H10"/>
    <mergeCell ref="H5:H6"/>
    <mergeCell ref="G8:G9"/>
    <mergeCell ref="H8:H9"/>
    <mergeCell ref="G11:G13"/>
    <mergeCell ref="H11:H13"/>
    <mergeCell ref="B7:H7"/>
    <mergeCell ref="G5:G6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TableS1_FilterningProcess</vt:lpstr>
      <vt:lpstr>TableS2_SumStats</vt:lpstr>
      <vt:lpstr>TableS3_FstTable</vt:lpstr>
      <vt:lpstr>TableS4_PhenotypicDistances</vt:lpstr>
      <vt:lpstr>TableS5_Phenotypic%Classified</vt:lpstr>
      <vt:lpstr>TableS6_NumberOfDams</vt:lpstr>
      <vt:lpstr>TableS7_WaterwayDistance</vt:lpstr>
      <vt:lpstr>TableS8_ModellingSummaryTables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Sozos Michaelides</dc:creator>
  <cp:lastModifiedBy>Sozos Michaelides</cp:lastModifiedBy>
  <dcterms:created xsi:type="dcterms:W3CDTF">2021-06-06T11:38:00Z</dcterms:created>
  <dcterms:modified xsi:type="dcterms:W3CDTF">2025-02-06T23:40:34Z</dcterms:modified>
</cp:coreProperties>
</file>